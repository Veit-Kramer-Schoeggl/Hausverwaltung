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Neuberechnung Einzelkosten" sheetId="1" state="visible" r:id="rId3"/>
    <sheet name="Allgemeinbereich" sheetId="2" state="visible" r:id="rId4"/>
    <sheet name="Variante 2 (Vorbehalt)" sheetId="3" state="visible" r:id="rId5"/>
    <sheet name="Kontrolle" sheetId="4" state="visible" r:id="rId6"/>
    <sheet name="Rechnungen Liebmarkt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<sst xmlns="http://schemas.openxmlformats.org/spreadsheetml/2006/main" count="279" uniqueCount="150">
  <si>
    <t xml:space="preserve">Neuberechnung Einzelkosten Fenstertausch — Tops 2–11</t>
  </si>
  <si>
    <t xml:space="preserve">Methode: Liebmarkt-Gesamtbetrag − Rücklagenentnahme = Restbetrag, anteilsmäßig auf die 10 teilnehmenden Tops (Top 2–11) aufgeteilt.</t>
  </si>
  <si>
    <t xml:space="preserve">Top 1 und Top 12 nehmen am Einzelfenstertausch nicht teil → keine Beteiligung an dieser Aufteilung. Sie sind im Blatt „Allgemeinbereich" enthalten.</t>
  </si>
  <si>
    <t xml:space="preserve">Eingaben (gelb = anpassbar)</t>
  </si>
  <si>
    <t xml:space="preserve">Gesamtbetrag Liebmarkt (brutto)</t>
  </si>
  <si>
    <t xml:space="preserve">Entnahme aus Rücklagen</t>
  </si>
  <si>
    <t xml:space="preserve">Summe Mindestanteile der Teilnehmer (Top 2–11)</t>
  </si>
  <si>
    <t xml:space="preserve">Restbetrag zur Aufteilung (D6 minus D7)</t>
  </si>
  <si>
    <t xml:space="preserve">Top</t>
  </si>
  <si>
    <t xml:space="preserve">Nutzungsart</t>
  </si>
  <si>
    <t xml:space="preserve">Eigentümer</t>
  </si>
  <si>
    <t xml:space="preserve">Mindestanteil
(/886)</t>
  </si>
  <si>
    <t xml:space="preserve">Anteil unter den
10 Teilnehmern</t>
  </si>
  <si>
    <t xml:space="preserve">Liebmarkt
Rechnung Nr.</t>
  </si>
  <si>
    <t xml:space="preserve">Rechnungs-
datum</t>
  </si>
  <si>
    <t xml:space="preserve">Einzelkosten
(brutto)
[Info]</t>
  </si>
  <si>
    <t xml:space="preserve">Neue Vorschreibung
(= Anteil × Restbetrag)</t>
  </si>
  <si>
    <t xml:space="preserve">Alte Sonder-
vorschreibung</t>
  </si>
  <si>
    <t xml:space="preserve">Rückzahlung (+)
/ Nachforderung (−)</t>
  </si>
  <si>
    <t xml:space="preserve">Wohnung</t>
  </si>
  <si>
    <t xml:space="preserve">Dr. Dehchamani Dadbeh  (siehe Blatt „Allgemeinbereich“)</t>
  </si>
  <si>
    <t xml:space="preserve">—</t>
  </si>
  <si>
    <t xml:space="preserve">Klaftenegger Katharina</t>
  </si>
  <si>
    <t xml:space="preserve">23796064</t>
  </si>
  <si>
    <t xml:space="preserve">26.02.2026</t>
  </si>
  <si>
    <t xml:space="preserve">Dr. Klaftenegger Ilona</t>
  </si>
  <si>
    <t xml:space="preserve">23799562</t>
  </si>
  <si>
    <t xml:space="preserve">03.03.2026</t>
  </si>
  <si>
    <t xml:space="preserve">Girtler Eveline</t>
  </si>
  <si>
    <t xml:space="preserve">23796070</t>
  </si>
  <si>
    <t xml:space="preserve">Tanil Johanna</t>
  </si>
  <si>
    <t xml:space="preserve">23867312</t>
  </si>
  <si>
    <t xml:space="preserve">12.05.2026</t>
  </si>
  <si>
    <t xml:space="preserve">Wohnung/Lager</t>
  </si>
  <si>
    <t xml:space="preserve">Schöggl Christa &amp; Schöggl Franz</t>
  </si>
  <si>
    <t xml:space="preserve">23774424</t>
  </si>
  <si>
    <t xml:space="preserve">20.01.2026</t>
  </si>
  <si>
    <t xml:space="preserve">Dr. Birk Steffen / Birk Birgit</t>
  </si>
  <si>
    <t xml:space="preserve">23799547</t>
  </si>
  <si>
    <t xml:space="preserve">Adamek Veronika und Werner</t>
  </si>
  <si>
    <t xml:space="preserve">23799560</t>
  </si>
  <si>
    <t xml:space="preserve">Univ.-Prof. Roller-Wirnsberger Dr. Regina</t>
  </si>
  <si>
    <t xml:space="preserve">23799557</t>
  </si>
  <si>
    <t xml:space="preserve">Dr. Neumeister Peter</t>
  </si>
  <si>
    <t xml:space="preserve">23806953</t>
  </si>
  <si>
    <t xml:space="preserve">12.03.2026</t>
  </si>
  <si>
    <t xml:space="preserve">Mag. (FH) Brunnader Anita</t>
  </si>
  <si>
    <t xml:space="preserve">23799545</t>
  </si>
  <si>
    <t xml:space="preserve">Jafferji Marita  (siehe Blatt „Allgemeinbereich“)</t>
  </si>
  <si>
    <t xml:space="preserve">Summe (nur Teilnehmer)</t>
  </si>
  <si>
    <t xml:space="preserve">Erläuterungen</t>
  </si>
  <si>
    <t xml:space="preserve">• Restbetrag = Gesamtbetrag Liebmarkt − Entnahme Rücklagen = 113.747,21 − 88.000 = 25.747,21 €.</t>
  </si>
  <si>
    <t xml:space="preserve">• Anteil unter den 10 Teilnehmern = Mindestanteil / Summe Mindestanteile der Teilnehmer (= 714).</t>
  </si>
  <si>
    <t xml:space="preserve">• Neue Vorschreibung pro Teilnehmer = Anteil × 25.747,21 €.</t>
  </si>
  <si>
    <t xml:space="preserve">• Rückzahlung = Alte Sondervorschreibung − Neue Vorschreibung. Positiv = Auszahlung an Eigentümer; negativ = Nachforderung.</t>
  </si>
  <si>
    <t xml:space="preserve">• Top 1 (Dehchamani) und Top 12 (Jafferji) nehmen am Einzelfenstertausch nicht teil und sind in dieser Aufteilung nicht enthalten.</t>
  </si>
  <si>
    <t xml:space="preserve">• Ihr Anteil am Allgemeinbereich (Stiegenhausfenster + Hauseingangstüre) wird im separaten Blatt „Allgemeinbereich“ ausgewiesen.</t>
  </si>
  <si>
    <t xml:space="preserve">Kostenaufstellung Allgemeinbereich (Stiegenhausfenster + Hauseingangstüre)</t>
  </si>
  <si>
    <t xml:space="preserve">Anteilsmäßige Aufteilung auf alle 12 Tops nach Mindestanteil lt. WEG / 886. Hier sind auch Top 1 und Top 12 enthalten.</t>
  </si>
  <si>
    <t xml:space="preserve">Allgemeinbereich (brutto)</t>
  </si>
  <si>
    <t xml:space="preserve">Quelle: HV-Angebotswert Firma Liebmarkt (eine separate Rechnung liegt uns nicht vor)</t>
  </si>
  <si>
    <t xml:space="preserve">Anteil %</t>
  </si>
  <si>
    <t xml:space="preserve">Anteil Allgemeinbereich
(brutto)</t>
  </si>
  <si>
    <t xml:space="preserve">Hinweis</t>
  </si>
  <si>
    <t xml:space="preserve">Dr. Dehchamani Dadbeh</t>
  </si>
  <si>
    <t xml:space="preserve">kein Einzelfenstertausch → hier einzige Beteiligung</t>
  </si>
  <si>
    <t xml:space="preserve">bereits Teil der Einzelkosten-Aufteilung (Blatt 1)</t>
  </si>
  <si>
    <t xml:space="preserve">Jafferji Marita</t>
  </si>
  <si>
    <t xml:space="preserve">Summe</t>
  </si>
  <si>
    <t xml:space="preserve">Wichtige Hinweise / offene Fragen an HV</t>
  </si>
  <si>
    <t xml:space="preserve">• Der Allgemeinbereich-Betrag von 12.067,16 € stammt aus dem ursprünglichen Liebmarkt-Angebot, nicht aus einer tatsächlichen Rechnung.</t>
  </si>
  <si>
    <t xml:space="preserve">• Es ist von der HV zu klären, ob dieser Betrag im Gesamtbetrag von 113.747,21 € bereits enthalten ist oder zusätzlich anfällt.</t>
  </si>
  <si>
    <t xml:space="preserve">• Falls Allgemeinbereich im Gesamtbetrag enthalten ist: die Tops 2–11 zahlen ihren Anteil bereits über die Einzelkosten-Aufteilung mit; nur Top 1 und Top 12 wären dann separat heranzuziehen.</t>
  </si>
  <si>
    <t xml:space="preserve">• Falls Allgemeinbereich NICHT im Gesamtbetrag enthalten ist: alle 12 Tops zahlen den Allgemeinbereich-Anteil zusätzlich.</t>
  </si>
  <si>
    <t xml:space="preserve">• Ebenso ist offen, welcher Teil der Rücklagenentnahme (88.000 €) auf den Allgemeinbereich entfällt.</t>
  </si>
  <si>
    <t xml:space="preserve">Variante 2 (UNTER VORBEHALT) — Allgemeinbereich vollständig aus Rücklagen</t>
  </si>
  <si>
    <t xml:space="preserve">Annahme: Der Allgemeinbereich (12.067,16 €) wird zu 100 % aus den Rücklagen finanziert und ist im Gesamtbetrag 113.747,21 € bereits enthalten.</t>
  </si>
  <si>
    <t xml:space="preserve">Konsequenz: Top 1 und Top 12 leisten KEINERLEI Zahlung (auch nicht für Allgemeinbereich). Die genaue Aufteilung der Rücklagenentnahme ist von der HV noch zu bestätigen.</t>
  </si>
  <si>
    <t xml:space="preserve">Rechenkette (Vorbehalt)</t>
  </si>
  <si>
    <t xml:space="preserve">Liebmarkt-Gesamtbetrag (brutto)</t>
  </si>
  <si>
    <t xml:space="preserve">lt. HV-Tabelle</t>
  </si>
  <si>
    <t xml:space="preserve">Allgemeinbereich (Stiegenhaus + Hauseingangstüre)</t>
  </si>
  <si>
    <t xml:space="preserve">100 % aus Rücklagen</t>
  </si>
  <si>
    <t xml:space="preserve">Anteil Einzelfenster (Gesamt minus Allgemeinbereich)</t>
  </si>
  <si>
    <t xml:space="preserve">Gesamt minus Allgemeinbereich</t>
  </si>
  <si>
    <t xml:space="preserve">Rücklagen gesamt</t>
  </si>
  <si>
    <t xml:space="preserve">Beschluss WEG</t>
  </si>
  <si>
    <t xml:space="preserve">davon für Allgemeinbereich</t>
  </si>
  <si>
    <t xml:space="preserve">Rücklagen → Allgemeinbereich</t>
  </si>
  <si>
    <t xml:space="preserve">davon verbleibend für Einzelfenster</t>
  </si>
  <si>
    <t xml:space="preserve">Rücklagen minus Allgemeinbereich</t>
  </si>
  <si>
    <t xml:space="preserve">Restbetrag Einzelfenster (anteilig auf 10 Tops)</t>
  </si>
  <si>
    <t xml:space="preserve">Einzelfenster minus verbleibende Rücklagen</t>
  </si>
  <si>
    <t xml:space="preserve">Summe Mindestanteile der 10 Teilnehmer (Top 2–11)</t>
  </si>
  <si>
    <t xml:space="preserve">Anteil unter
den 10 Teiln.</t>
  </si>
  <si>
    <t xml:space="preserve">Neue Vorschreibung
(Variante 2)</t>
  </si>
  <si>
    <t xml:space="preserve">Rückzahlung (+) /
Nachforderung (−)</t>
  </si>
  <si>
    <t xml:space="preserve">Anmerkung</t>
  </si>
  <si>
    <t xml:space="preserve">Keine Zahlung — Allgemeinbereich 100 % aus Rücklagen</t>
  </si>
  <si>
    <t xml:space="preserve">Wichtige Hinweise (Vorbehalt)</t>
  </si>
  <si>
    <t xml:space="preserve">• Diese Variante steht unter dem Vorbehalt der Bestätigung durch die Hausverwaltung.</t>
  </si>
  <si>
    <t xml:space="preserve">• Annahme: Der Allgemeinbereich (12.067,16 €) wird vollständig aus den Rücklagen finanziert.</t>
  </si>
  <si>
    <t xml:space="preserve">• Annahme: Der Allgemeinbereich ist im Gesamtbetrag 113.747,21 € enthalten (nicht zusätzlich).</t>
  </si>
  <si>
    <t xml:space="preserve">• Beide Annahmen sind durch die HV ausdrücklich schriftlich zu bestätigen, da die genaue Verteilung der Rücklagenentnahme auf Allgemeinbereich vs. Einzelfenster aus den vorliegenden Unterlagen nicht eindeutig hervorgeht.</t>
  </si>
  <si>
    <t xml:space="preserve">• Rechnerisch ergeben sich für Top 2–11 dieselben neuen Vorschreibungen wie im Hauptblatt (jeweils 25.747,21 € auf 10 Tops). Unterschied: in dieser Variante zahlen Top 1 und Top 12 GAR NICHTS (auch nicht den Allgemeinbereich-Anteil).</t>
  </si>
  <si>
    <t xml:space="preserve">• Sollte sich nach Klärung herausstellen, dass der Allgemeinbereich NICHT vollständig aus Rücklagen finanziert wird, ist diese Variante nicht anwendbar — dann gilt das Hauptblatt (Allgemeinbereich anteilig auf alle 12 Tops, Top 1/12 zahlen 1.184,92 € bzw. 1.157,68 €).</t>
  </si>
  <si>
    <t xml:space="preserve">Kontrollabgleich</t>
  </si>
  <si>
    <t xml:space="preserve">Position</t>
  </si>
  <si>
    <t xml:space="preserve">Betrag</t>
  </si>
  <si>
    <t xml:space="preserve">Gesamtbetrag Liebmarkt (lt. HV)</t>
  </si>
  <si>
    <t xml:space="preserve">Eingabe</t>
  </si>
  <si>
    <t xml:space="preserve">Entnahme Rücklagen</t>
  </si>
  <si>
    <t xml:space="preserve">Restbetrag zur Aufteilung</t>
  </si>
  <si>
    <t xml:space="preserve">Liebbau minus Rücklagen</t>
  </si>
  <si>
    <t xml:space="preserve">Summe neue Vorschreibungen Einzelkosten (Top 2–11)</t>
  </si>
  <si>
    <t xml:space="preserve">muss gleich Restbetrag sein</t>
  </si>
  <si>
    <t xml:space="preserve">Differenz (Soll = 0)</t>
  </si>
  <si>
    <t xml:space="preserve">Plausibilitätscheck</t>
  </si>
  <si>
    <t xml:space="preserve">Summe alte Sondervorschreibungen (Top 2–11)</t>
  </si>
  <si>
    <t xml:space="preserve">bisher eingezahlt</t>
  </si>
  <si>
    <t xml:space="preserve">Summe Rückzahlungen Einzelkosten (Soll)</t>
  </si>
  <si>
    <t xml:space="preserve">alte VS minus neue VS</t>
  </si>
  <si>
    <t xml:space="preserve">Plausibilität: alte VS minus neue VS</t>
  </si>
  <si>
    <t xml:space="preserve">muss gleich Summe Rückzahlungen sein</t>
  </si>
  <si>
    <t xml:space="preserve">Angebotswert Liebmarkt</t>
  </si>
  <si>
    <t xml:space="preserve">Anteil Allgemeinbereich Top 1</t>
  </si>
  <si>
    <t xml:space="preserve">Anteil Allgemeinbereich Top 12</t>
  </si>
  <si>
    <t xml:space="preserve">Summe Anteile Top 1 + Top 12 (Allgemeinbereich)</t>
  </si>
  <si>
    <t xml:space="preserve">diese tragen Top 1/12 mit</t>
  </si>
  <si>
    <t xml:space="preserve">— Plausibilität Rechnungen vs. HV-Betrag —</t>
  </si>
  <si>
    <t xml:space="preserve">Tatsächliche Liebmarkt-Rechnungen (Top 2–11 brutto)</t>
  </si>
  <si>
    <t xml:space="preserve">Summe der 10 vorliegenden Rechnungen</t>
  </si>
  <si>
    <t xml:space="preserve">zzgl. Allgemeinbereich (Angebotswert brutto)</t>
  </si>
  <si>
    <t xml:space="preserve">lt. HV-Angebot Liebmarkt</t>
  </si>
  <si>
    <t xml:space="preserve">Tatsächlich belegbarer Projektumfang</t>
  </si>
  <si>
    <t xml:space="preserve">Summe aus Rechnungen + Allgemeinbereich</t>
  </si>
  <si>
    <t xml:space="preserve">Differenz HV-Gesamtbetrag minus belegbar</t>
  </si>
  <si>
    <t xml:space="preserve">diese Differenz ist mit HV zu klären</t>
  </si>
  <si>
    <t xml:space="preserve">Übersicht Rechnungen Firma Liebmarkt GmbH</t>
  </si>
  <si>
    <t xml:space="preserve">Kundennummer 441939 · UID ATU28614602 · Fachberater Patrick Simbürger</t>
  </si>
  <si>
    <t xml:space="preserve">Rechnung Nr.</t>
  </si>
  <si>
    <t xml:space="preserve">Datum</t>
  </si>
  <si>
    <t xml:space="preserve">Netto (€)</t>
  </si>
  <si>
    <t xml:space="preserve">Brutto inkl. 20 % USt. (€)</t>
  </si>
  <si>
    <t xml:space="preserve">— (keine Rechnung)</t>
  </si>
  <si>
    <t xml:space="preserve">Summe (Top 2–11)</t>
  </si>
  <si>
    <t xml:space="preserve">zzgl. Allgemeinbereich (Stiegenhausfenster + Hauseingangstüre, Angebotswert)</t>
  </si>
  <si>
    <t xml:space="preserve">Belegbares Projektvolumen (brutto)</t>
  </si>
  <si>
    <t xml:space="preserve">HV-Gesamtbetrag (zum Vergleich)</t>
  </si>
  <si>
    <t xml:space="preserve">Differenz HV minus belegbar — Klärungsbedarf!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</si>
</sst>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.00&quot; €&quot;;[RED]\-#,##0.00&quot; €&quot;;\–"/>
    <numFmt numFmtId="166" formatCode="0.0000%"/>
    <numFmt numFmtId="167" formatCode="General"/>
  </numFmts>
  <fonts count="2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305496"/>
      <name val="Arial"/>
      <family val="0"/>
      <charset val="1"/>
    </font>
    <font>
      <i val="true"/>
      <sz val="10"/>
      <name val="Arial"/>
      <family val="0"/>
      <charset val="1"/>
    </font>
    <font>
      <i val="true"/>
      <sz val="10"/>
      <color rgb="FFC0000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i val="true"/>
      <sz val="11"/>
      <color rgb="FF888888"/>
      <name val="Arial"/>
      <family val="0"/>
      <charset val="1"/>
    </font>
    <font>
      <sz val="11"/>
      <color rgb="FF0000FF"/>
      <name val="Arial"/>
      <family val="0"/>
      <charset val="1"/>
    </font>
    <font>
      <sz val="11"/>
      <color rgb="FF888888"/>
      <name val="Arial"/>
      <family val="0"/>
      <charset val="1"/>
    </font>
    <font>
      <i val="true"/>
      <sz val="9"/>
      <color rgb="FF666666"/>
      <name val="Arial"/>
      <family val="0"/>
      <charset val="1"/>
    </font>
    <font>
      <i val="true"/>
      <sz val="9"/>
      <color rgb="FFC00000"/>
      <name val="Arial"/>
      <family val="0"/>
      <charset val="1"/>
    </font>
    <font>
      <b val="true"/>
      <sz val="14"/>
      <color rgb="FFC00000"/>
      <name val="Arial"/>
      <family val="0"/>
      <charset val="1"/>
    </font>
    <font>
      <sz val="10"/>
      <name val="Arial"/>
      <family val="0"/>
      <charset val="1"/>
    </font>
    <font>
      <i val="true"/>
      <sz val="11"/>
      <name val="Arial"/>
      <family val="0"/>
      <charset val="1"/>
    </font>
    <font>
      <i val="true"/>
      <sz val="11"/>
      <color rgb="FFC00000"/>
      <name val="Arial"/>
      <family val="0"/>
      <charset val="1"/>
    </font>
    <font>
      <b val="true"/>
      <sz val="11"/>
      <color rgb="FFC00000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D9E1F2"/>
        <bgColor rgb="FFE2EFDA"/>
      </patternFill>
    </fill>
    <fill>
      <patternFill patternType="solid">
        <fgColor rgb="FFFFFF00"/>
        <bgColor rgb="FFFFFF00"/>
      </patternFill>
    </fill>
    <fill>
      <patternFill patternType="solid">
        <fgColor rgb="FFE2EFDA"/>
        <bgColor rgb="FFF2F2F2"/>
      </patternFill>
    </fill>
    <fill>
      <patternFill patternType="solid">
        <fgColor rgb="FF305496"/>
        <bgColor rgb="FF0066CC"/>
      </patternFill>
    </fill>
    <fill>
      <patternFill patternType="solid">
        <fgColor rgb="FFF2F2F2"/>
        <bgColor rgb="FFE2EFDA"/>
      </patternFill>
    </fill>
    <fill>
      <patternFill patternType="solid">
        <fgColor rgb="FFFFE699"/>
        <bgColor rgb="FFFCE4D6"/>
      </patternFill>
    </fill>
    <fill>
      <patternFill patternType="solid">
        <fgColor rgb="FFFCE4D6"/>
        <bgColor rgb="FFF2F2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8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6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0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88888"/>
      <rgbColor rgb="FF9999FF"/>
      <rgbColor rgb="FF993366"/>
      <rgbColor rgb="FFF2F2F2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E6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66"/>
      <rgbColor rgb="FF999999"/>
      <rgbColor rgb="FF003366"/>
      <rgbColor rgb="FF339966"/>
      <rgbColor rgb="FF003300"/>
      <rgbColor rgb="FF333300"/>
      <rgbColor rgb="FF993300"/>
      <rgbColor rgb="FF993366"/>
      <rgbColor rgb="FF30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2" topLeftCell="A1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4"/>
    <col collapsed="false" customWidth="true" hidden="false" outlineLevel="0" max="3" min="3" style="0" width="42"/>
    <col collapsed="false" customWidth="true" hidden="false" outlineLevel="0" max="4" min="4" style="0" width="16"/>
    <col collapsed="false" customWidth="true" hidden="false" outlineLevel="0" max="5" min="5" style="0" width="15"/>
    <col collapsed="false" customWidth="true" hidden="false" outlineLevel="0" max="6" min="6" style="0" width="14"/>
    <col collapsed="false" customWidth="true" hidden="false" outlineLevel="0" max="7" min="7" style="0" width="13"/>
    <col collapsed="false" customWidth="true" hidden="false" outlineLevel="0" max="8" min="8" style="0" width="14"/>
    <col collapsed="false" customWidth="true" hidden="false" outlineLevel="0" max="9" min="9" style="0" width="20"/>
    <col collapsed="false" customWidth="true" hidden="false" outlineLevel="0" max="10" min="10" style="0" width="16"/>
    <col collapsed="false" customWidth="true" hidden="false" outlineLevel="0" max="11" min="11" style="0" width="22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customFormat="false" ht="15" hidden="false" customHeight="fals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</row>
    <row r="5" customFormat="false" ht="15" hidden="false" customHeight="false" outlineLevel="0" collapsed="false">
      <c r="A5" s="4" t="s">
        <v>3</v>
      </c>
      <c r="B5" s="4"/>
      <c r="C5" s="4"/>
      <c r="D5" s="4"/>
    </row>
    <row r="6" customFormat="false" ht="15" hidden="false" customHeight="false" outlineLevel="0" collapsed="false">
      <c r="A6" s="5" t="s">
        <v>4</v>
      </c>
      <c r="B6" s="5"/>
      <c r="C6" s="5"/>
      <c r="D6" s="6" t="n">
        <v>113747.21</v>
      </c>
    </row>
    <row r="7" customFormat="false" ht="15" hidden="false" customHeight="false" outlineLevel="0" collapsed="false">
      <c r="A7" s="5" t="s">
        <v>5</v>
      </c>
      <c r="B7" s="5"/>
      <c r="C7" s="5"/>
      <c r="D7" s="6" t="n">
        <v>88000</v>
      </c>
    </row>
    <row r="8" customFormat="false" ht="15" hidden="false" customHeight="false" outlineLevel="0" collapsed="false">
      <c r="A8" s="5" t="s">
        <v>6</v>
      </c>
      <c r="B8" s="5"/>
      <c r="C8" s="5"/>
      <c r="D8" s="7" t="n">
        <v>714</v>
      </c>
    </row>
    <row r="9" customFormat="false" ht="15" hidden="false" customHeight="false" outlineLevel="0" collapsed="false">
      <c r="A9" s="5" t="s">
        <v>7</v>
      </c>
      <c r="B9" s="5"/>
      <c r="C9" s="5"/>
      <c r="D9" s="8" t="n">
        <f aca="false">D6-D7</f>
        <v>25747.21</v>
      </c>
    </row>
    <row r="12" customFormat="false" ht="45" hidden="false" customHeight="true" outlineLevel="0" collapsed="false">
      <c r="A12" s="9" t="s">
        <v>8</v>
      </c>
      <c r="B12" s="9" t="s">
        <v>9</v>
      </c>
      <c r="C12" s="9" t="s">
        <v>10</v>
      </c>
      <c r="D12" s="9" t="s">
        <v>11</v>
      </c>
      <c r="E12" s="9" t="s">
        <v>12</v>
      </c>
      <c r="F12" s="9" t="s">
        <v>13</v>
      </c>
      <c r="G12" s="9" t="s">
        <v>14</v>
      </c>
      <c r="H12" s="9" t="s">
        <v>15</v>
      </c>
      <c r="I12" s="9" t="s">
        <v>16</v>
      </c>
      <c r="J12" s="9" t="s">
        <v>17</v>
      </c>
      <c r="K12" s="9" t="s">
        <v>18</v>
      </c>
    </row>
    <row r="13" customFormat="false" ht="15" hidden="false" customHeight="false" outlineLevel="0" collapsed="false">
      <c r="A13" s="10" t="n">
        <v>1</v>
      </c>
      <c r="B13" s="11" t="s">
        <v>19</v>
      </c>
      <c r="C13" s="12" t="s">
        <v>20</v>
      </c>
      <c r="D13" s="13" t="n">
        <v>87</v>
      </c>
      <c r="E13" s="14" t="s">
        <v>21</v>
      </c>
      <c r="F13" s="14" t="s">
        <v>21</v>
      </c>
      <c r="G13" s="14" t="s">
        <v>21</v>
      </c>
      <c r="H13" s="14" t="s">
        <v>21</v>
      </c>
      <c r="I13" s="14" t="s">
        <v>21</v>
      </c>
      <c r="J13" s="14" t="s">
        <v>21</v>
      </c>
      <c r="K13" s="14" t="s">
        <v>21</v>
      </c>
    </row>
    <row r="14" customFormat="false" ht="15" hidden="false" customHeight="false" outlineLevel="0" collapsed="false">
      <c r="A14" s="10" t="n">
        <v>2</v>
      </c>
      <c r="B14" s="11" t="s">
        <v>19</v>
      </c>
      <c r="C14" s="11" t="s">
        <v>22</v>
      </c>
      <c r="D14" s="13" t="n">
        <v>71</v>
      </c>
      <c r="E14" s="15" t="n">
        <f aca="false">D14/$D$8</f>
        <v>0.0994397759103641</v>
      </c>
      <c r="F14" s="10" t="s">
        <v>23</v>
      </c>
      <c r="G14" s="10" t="s">
        <v>24</v>
      </c>
      <c r="H14" s="16" t="n">
        <v>3963.49</v>
      </c>
      <c r="I14" s="17" t="n">
        <f aca="false">E14*$D$9</f>
        <v>2560.29679271709</v>
      </c>
      <c r="J14" s="18" t="n">
        <v>5874.19</v>
      </c>
      <c r="K14" s="17" t="n">
        <f aca="false">J14-I14</f>
        <v>3313.89320728291</v>
      </c>
    </row>
    <row r="15" customFormat="false" ht="15" hidden="false" customHeight="false" outlineLevel="0" collapsed="false">
      <c r="A15" s="10" t="n">
        <v>3</v>
      </c>
      <c r="B15" s="11" t="s">
        <v>19</v>
      </c>
      <c r="C15" s="11" t="s">
        <v>25</v>
      </c>
      <c r="D15" s="13" t="n">
        <v>71</v>
      </c>
      <c r="E15" s="15" t="n">
        <f aca="false">D15/$D$8</f>
        <v>0.0994397759103641</v>
      </c>
      <c r="F15" s="10" t="s">
        <v>26</v>
      </c>
      <c r="G15" s="10" t="s">
        <v>27</v>
      </c>
      <c r="H15" s="16" t="n">
        <v>4091.03</v>
      </c>
      <c r="I15" s="17" t="n">
        <f aca="false">E15*$D$9</f>
        <v>2560.29679271709</v>
      </c>
      <c r="J15" s="18" t="n">
        <v>5874.19</v>
      </c>
      <c r="K15" s="17" t="n">
        <f aca="false">J15-I15</f>
        <v>3313.89320728291</v>
      </c>
    </row>
    <row r="16" customFormat="false" ht="15" hidden="false" customHeight="false" outlineLevel="0" collapsed="false">
      <c r="A16" s="10" t="n">
        <v>4</v>
      </c>
      <c r="B16" s="11" t="s">
        <v>19</v>
      </c>
      <c r="C16" s="11" t="s">
        <v>28</v>
      </c>
      <c r="D16" s="13" t="n">
        <v>87</v>
      </c>
      <c r="E16" s="15" t="n">
        <f aca="false">D16/$D$8</f>
        <v>0.121848739495798</v>
      </c>
      <c r="F16" s="10" t="s">
        <v>29</v>
      </c>
      <c r="G16" s="10" t="s">
        <v>24</v>
      </c>
      <c r="H16" s="16" t="n">
        <v>6166.37</v>
      </c>
      <c r="I16" s="17" t="n">
        <f aca="false">E16*$D$9</f>
        <v>3137.26508403361</v>
      </c>
      <c r="J16" s="18" t="n">
        <v>10545.19</v>
      </c>
      <c r="K16" s="17" t="n">
        <f aca="false">J16-I16</f>
        <v>7407.92491596639</v>
      </c>
    </row>
    <row r="17" customFormat="false" ht="15" hidden="false" customHeight="false" outlineLevel="0" collapsed="false">
      <c r="A17" s="10" t="n">
        <v>5</v>
      </c>
      <c r="B17" s="11" t="s">
        <v>19</v>
      </c>
      <c r="C17" s="11" t="s">
        <v>30</v>
      </c>
      <c r="D17" s="13" t="n">
        <v>79</v>
      </c>
      <c r="E17" s="15" t="n">
        <f aca="false">D17/$D$8</f>
        <v>0.110644257703081</v>
      </c>
      <c r="F17" s="10" t="s">
        <v>31</v>
      </c>
      <c r="G17" s="10" t="s">
        <v>32</v>
      </c>
      <c r="H17" s="16" t="n">
        <v>6852.47</v>
      </c>
      <c r="I17" s="17" t="n">
        <f aca="false">E17*$D$9</f>
        <v>2848.78093837535</v>
      </c>
      <c r="J17" s="18" t="n">
        <v>6536.07</v>
      </c>
      <c r="K17" s="17" t="n">
        <f aca="false">J17-I17</f>
        <v>3687.28906162465</v>
      </c>
    </row>
    <row r="18" customFormat="false" ht="15" hidden="false" customHeight="false" outlineLevel="0" collapsed="false">
      <c r="A18" s="10" t="n">
        <v>6</v>
      </c>
      <c r="B18" s="11" t="s">
        <v>33</v>
      </c>
      <c r="C18" s="11" t="s">
        <v>34</v>
      </c>
      <c r="D18" s="13" t="n">
        <v>64</v>
      </c>
      <c r="E18" s="15" t="n">
        <f aca="false">D18/$D$8</f>
        <v>0.0896358543417367</v>
      </c>
      <c r="F18" s="10" t="s">
        <v>35</v>
      </c>
      <c r="G18" s="10" t="s">
        <v>36</v>
      </c>
      <c r="H18" s="16" t="n">
        <v>4827.49</v>
      </c>
      <c r="I18" s="17" t="n">
        <f aca="false">E18*$D$9</f>
        <v>2307.87316526611</v>
      </c>
      <c r="J18" s="18" t="n">
        <v>7757.38</v>
      </c>
      <c r="K18" s="17" t="n">
        <f aca="false">J18-I18</f>
        <v>5449.50683473389</v>
      </c>
    </row>
    <row r="19" customFormat="false" ht="15" hidden="false" customHeight="false" outlineLevel="0" collapsed="false">
      <c r="A19" s="10" t="n">
        <v>7</v>
      </c>
      <c r="B19" s="11" t="s">
        <v>19</v>
      </c>
      <c r="C19" s="11" t="s">
        <v>37</v>
      </c>
      <c r="D19" s="13" t="n">
        <v>59</v>
      </c>
      <c r="E19" s="15" t="n">
        <f aca="false">D19/$D$8</f>
        <v>0.0826330532212885</v>
      </c>
      <c r="F19" s="10" t="s">
        <v>38</v>
      </c>
      <c r="G19" s="10" t="s">
        <v>27</v>
      </c>
      <c r="H19" s="16" t="n">
        <v>5104.5</v>
      </c>
      <c r="I19" s="17" t="n">
        <f aca="false">E19*$D$9</f>
        <v>2127.57057422969</v>
      </c>
      <c r="J19" s="18" t="n">
        <v>7151.34</v>
      </c>
      <c r="K19" s="17" t="n">
        <f aca="false">J19-I19</f>
        <v>5023.76942577031</v>
      </c>
    </row>
    <row r="20" customFormat="false" ht="15" hidden="false" customHeight="false" outlineLevel="0" collapsed="false">
      <c r="A20" s="10" t="n">
        <v>8</v>
      </c>
      <c r="B20" s="11" t="s">
        <v>19</v>
      </c>
      <c r="C20" s="11" t="s">
        <v>39</v>
      </c>
      <c r="D20" s="13" t="n">
        <v>79</v>
      </c>
      <c r="E20" s="15" t="n">
        <f aca="false">D20/$D$8</f>
        <v>0.110644257703081</v>
      </c>
      <c r="F20" s="10" t="s">
        <v>40</v>
      </c>
      <c r="G20" s="10" t="s">
        <v>27</v>
      </c>
      <c r="H20" s="16" t="n">
        <v>7174.07</v>
      </c>
      <c r="I20" s="17" t="n">
        <f aca="false">E20*$D$9</f>
        <v>2848.78093837535</v>
      </c>
      <c r="J20" s="18" t="n">
        <v>6536.07</v>
      </c>
      <c r="K20" s="17" t="n">
        <f aca="false">J20-I20</f>
        <v>3687.28906162465</v>
      </c>
    </row>
    <row r="21" customFormat="false" ht="15" hidden="false" customHeight="false" outlineLevel="0" collapsed="false">
      <c r="A21" s="10" t="n">
        <v>9</v>
      </c>
      <c r="B21" s="11" t="s">
        <v>19</v>
      </c>
      <c r="C21" s="11" t="s">
        <v>41</v>
      </c>
      <c r="D21" s="13" t="n">
        <v>80</v>
      </c>
      <c r="E21" s="15" t="n">
        <f aca="false">D21/$D$8</f>
        <v>0.112044817927171</v>
      </c>
      <c r="F21" s="10" t="s">
        <v>42</v>
      </c>
      <c r="G21" s="10" t="s">
        <v>27</v>
      </c>
      <c r="H21" s="16" t="n">
        <v>5339.05</v>
      </c>
      <c r="I21" s="17" t="n">
        <f aca="false">E21*$D$9</f>
        <v>2884.84145658263</v>
      </c>
      <c r="J21" s="18" t="n">
        <v>6618.8</v>
      </c>
      <c r="K21" s="17" t="n">
        <f aca="false">J21-I21</f>
        <v>3733.95854341737</v>
      </c>
    </row>
    <row r="22" customFormat="false" ht="15" hidden="false" customHeight="false" outlineLevel="0" collapsed="false">
      <c r="A22" s="10" t="n">
        <v>10</v>
      </c>
      <c r="B22" s="11" t="s">
        <v>19</v>
      </c>
      <c r="C22" s="11" t="s">
        <v>43</v>
      </c>
      <c r="D22" s="13" t="n">
        <v>62</v>
      </c>
      <c r="E22" s="15" t="n">
        <f aca="false">D22/$D$8</f>
        <v>0.0868347338935574</v>
      </c>
      <c r="F22" s="10" t="s">
        <v>44</v>
      </c>
      <c r="G22" s="10" t="s">
        <v>45</v>
      </c>
      <c r="H22" s="16" t="n">
        <v>3975.54</v>
      </c>
      <c r="I22" s="17" t="n">
        <f aca="false">E22*$D$9</f>
        <v>2235.75212885154</v>
      </c>
      <c r="J22" s="18" t="n">
        <v>5000</v>
      </c>
      <c r="K22" s="17" t="n">
        <f aca="false">J22-I22</f>
        <v>2764.24787114846</v>
      </c>
    </row>
    <row r="23" customFormat="false" ht="15" hidden="false" customHeight="false" outlineLevel="0" collapsed="false">
      <c r="A23" s="10" t="n">
        <v>11</v>
      </c>
      <c r="B23" s="11" t="s">
        <v>19</v>
      </c>
      <c r="C23" s="11" t="s">
        <v>46</v>
      </c>
      <c r="D23" s="13" t="n">
        <v>62</v>
      </c>
      <c r="E23" s="15" t="n">
        <f aca="false">D23/$D$8</f>
        <v>0.0868347338935574</v>
      </c>
      <c r="F23" s="10" t="s">
        <v>47</v>
      </c>
      <c r="G23" s="10" t="s">
        <v>27</v>
      </c>
      <c r="H23" s="16" t="n">
        <v>3975.53</v>
      </c>
      <c r="I23" s="17" t="n">
        <f aca="false">E23*$D$9</f>
        <v>2235.75212885154</v>
      </c>
      <c r="J23" s="18" t="n">
        <v>7514.96</v>
      </c>
      <c r="K23" s="17" t="n">
        <f aca="false">J23-I23</f>
        <v>5279.20787114846</v>
      </c>
    </row>
    <row r="24" customFormat="false" ht="15" hidden="false" customHeight="false" outlineLevel="0" collapsed="false">
      <c r="A24" s="10" t="n">
        <v>12</v>
      </c>
      <c r="B24" s="11" t="s">
        <v>33</v>
      </c>
      <c r="C24" s="12" t="s">
        <v>48</v>
      </c>
      <c r="D24" s="13" t="n">
        <v>85</v>
      </c>
      <c r="E24" s="14" t="s">
        <v>21</v>
      </c>
      <c r="F24" s="14" t="s">
        <v>21</v>
      </c>
      <c r="G24" s="14" t="s">
        <v>21</v>
      </c>
      <c r="H24" s="14" t="s">
        <v>21</v>
      </c>
      <c r="I24" s="14" t="s">
        <v>21</v>
      </c>
      <c r="J24" s="14" t="s">
        <v>21</v>
      </c>
      <c r="K24" s="14" t="s">
        <v>21</v>
      </c>
    </row>
    <row r="25" customFormat="false" ht="15" hidden="false" customHeight="false" outlineLevel="0" collapsed="false">
      <c r="A25" s="19" t="s">
        <v>49</v>
      </c>
      <c r="B25" s="19"/>
      <c r="C25" s="19"/>
      <c r="D25" s="20" t="n">
        <f aca="false">D8</f>
        <v>714</v>
      </c>
      <c r="E25" s="21" t="n">
        <f aca="false">SUMIF(E13:E24,"&gt;0")</f>
        <v>1</v>
      </c>
      <c r="F25" s="20"/>
      <c r="G25" s="20"/>
      <c r="H25" s="22" t="n">
        <f aca="false">SUMIF(H13:H24,"&gt;=0")</f>
        <v>51469.54</v>
      </c>
      <c r="I25" s="22" t="n">
        <f aca="false">SUMIF(I13:I24,"&gt;=0")</f>
        <v>25747.21</v>
      </c>
      <c r="J25" s="22" t="n">
        <f aca="false">SUMIF(J13:J24,"&gt;=0")</f>
        <v>69408.19</v>
      </c>
      <c r="K25" s="22" t="n">
        <f aca="false">SUMIF(K13:K24,"&gt;=0")</f>
        <v>43660.98</v>
      </c>
    </row>
    <row r="27" customFormat="false" ht="15" hidden="false" customHeight="false" outlineLevel="0" collapsed="false">
      <c r="A27" s="4" t="s">
        <v>50</v>
      </c>
      <c r="B27" s="4"/>
      <c r="C27" s="4"/>
      <c r="D27" s="4"/>
      <c r="E27" s="4"/>
      <c r="F27" s="4"/>
      <c r="G27" s="4"/>
      <c r="H27" s="4"/>
      <c r="I27" s="4"/>
      <c r="J27" s="4"/>
      <c r="K27" s="4"/>
    </row>
    <row r="28" customFormat="false" ht="15" hidden="false" customHeight="false" outlineLevel="0" collapsed="false">
      <c r="A28" s="23" t="s">
        <v>51</v>
      </c>
      <c r="B28" s="23"/>
      <c r="C28" s="23"/>
      <c r="D28" s="23"/>
      <c r="E28" s="23"/>
      <c r="F28" s="23"/>
      <c r="G28" s="23"/>
      <c r="H28" s="23"/>
      <c r="I28" s="23"/>
      <c r="J28" s="23"/>
      <c r="K28" s="23"/>
    </row>
    <row r="29" customFormat="false" ht="15" hidden="false" customHeight="false" outlineLevel="0" collapsed="false">
      <c r="A29" s="23" t="s">
        <v>52</v>
      </c>
      <c r="B29" s="23"/>
      <c r="C29" s="23"/>
      <c r="D29" s="23"/>
      <c r="E29" s="23"/>
      <c r="F29" s="23"/>
      <c r="G29" s="23"/>
      <c r="H29" s="23"/>
      <c r="I29" s="23"/>
      <c r="J29" s="23"/>
      <c r="K29" s="23"/>
    </row>
    <row r="30" customFormat="false" ht="15" hidden="false" customHeight="false" outlineLevel="0" collapsed="false">
      <c r="A30" s="23" t="s">
        <v>53</v>
      </c>
      <c r="B30" s="23"/>
      <c r="C30" s="23"/>
      <c r="D30" s="23"/>
      <c r="E30" s="23"/>
      <c r="F30" s="23"/>
      <c r="G30" s="23"/>
      <c r="H30" s="23"/>
      <c r="I30" s="23"/>
      <c r="J30" s="23"/>
      <c r="K30" s="23"/>
    </row>
    <row r="31" customFormat="false" ht="15" hidden="false" customHeight="false" outlineLevel="0" collapsed="false">
      <c r="A31" s="23" t="s">
        <v>54</v>
      </c>
      <c r="B31" s="23"/>
      <c r="C31" s="23"/>
      <c r="D31" s="23"/>
      <c r="E31" s="23"/>
      <c r="F31" s="23"/>
      <c r="G31" s="23"/>
      <c r="H31" s="23"/>
      <c r="I31" s="23"/>
      <c r="J31" s="23"/>
      <c r="K31" s="23"/>
    </row>
    <row r="32" customFormat="false" ht="15" hidden="false" customHeight="false" outlineLevel="0" collapsed="false">
      <c r="A32" s="23" t="s">
        <v>55</v>
      </c>
      <c r="B32" s="23"/>
      <c r="C32" s="23"/>
      <c r="D32" s="23"/>
      <c r="E32" s="23"/>
      <c r="F32" s="23"/>
      <c r="G32" s="23"/>
      <c r="H32" s="23"/>
      <c r="I32" s="23"/>
      <c r="J32" s="23"/>
      <c r="K32" s="23"/>
    </row>
    <row r="33" customFormat="false" ht="15" hidden="false" customHeight="false" outlineLevel="0" collapsed="false">
      <c r="A33" s="23" t="s">
        <v>56</v>
      </c>
      <c r="B33" s="23"/>
      <c r="C33" s="23"/>
      <c r="D33" s="23"/>
      <c r="E33" s="23"/>
      <c r="F33" s="23"/>
      <c r="G33" s="23"/>
      <c r="H33" s="23"/>
      <c r="I33" s="23"/>
      <c r="J33" s="23"/>
      <c r="K33" s="23"/>
    </row>
  </sheetData>
  <mergeCells count="16">
    <mergeCell ref="A1:K1"/>
    <mergeCell ref="A2:K2"/>
    <mergeCell ref="A3:K3"/>
    <mergeCell ref="A5:D5"/>
    <mergeCell ref="A6:C6"/>
    <mergeCell ref="A7:C7"/>
    <mergeCell ref="A8:C8"/>
    <mergeCell ref="A9:C9"/>
    <mergeCell ref="A25:C25"/>
    <mergeCell ref="A27:K27"/>
    <mergeCell ref="A28:K28"/>
    <mergeCell ref="A29:K29"/>
    <mergeCell ref="A30:K30"/>
    <mergeCell ref="A31:K31"/>
    <mergeCell ref="A32:K32"/>
    <mergeCell ref="A33:K3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4"/>
    <col collapsed="false" customWidth="true" hidden="false" outlineLevel="0" max="3" min="3" style="0" width="42"/>
    <col collapsed="false" customWidth="true" hidden="false" outlineLevel="0" max="4" min="4" style="0" width="16"/>
    <col collapsed="false" customWidth="true" hidden="false" outlineLevel="0" max="5" min="5" style="0" width="11"/>
    <col collapsed="false" customWidth="true" hidden="false" outlineLevel="0" max="6" min="6" style="0" width="22"/>
    <col collapsed="false" customWidth="true" hidden="false" outlineLevel="0" max="7" min="7" style="0" width="50"/>
  </cols>
  <sheetData>
    <row r="1" customFormat="false" ht="17.35" hidden="false" customHeight="false" outlineLevel="0" collapsed="false">
      <c r="A1" s="1" t="s">
        <v>57</v>
      </c>
      <c r="B1" s="1"/>
      <c r="C1" s="1"/>
      <c r="D1" s="1"/>
      <c r="E1" s="1"/>
      <c r="F1" s="1"/>
      <c r="G1" s="1"/>
    </row>
    <row r="2" customFormat="false" ht="15" hidden="false" customHeight="false" outlineLevel="0" collapsed="false">
      <c r="A2" s="2" t="s">
        <v>58</v>
      </c>
      <c r="B2" s="2"/>
      <c r="C2" s="2"/>
      <c r="D2" s="2"/>
      <c r="E2" s="2"/>
      <c r="F2" s="2"/>
      <c r="G2" s="2"/>
    </row>
    <row r="4" customFormat="false" ht="15" hidden="false" customHeight="false" outlineLevel="0" collapsed="false">
      <c r="A4" s="5" t="s">
        <v>59</v>
      </c>
      <c r="B4" s="5"/>
      <c r="C4" s="5"/>
      <c r="D4" s="6" t="n">
        <v>12067.16</v>
      </c>
    </row>
    <row r="5" customFormat="false" ht="15" hidden="false" customHeight="false" outlineLevel="0" collapsed="false">
      <c r="A5" s="23" t="s">
        <v>60</v>
      </c>
      <c r="B5" s="23"/>
      <c r="C5" s="23"/>
      <c r="D5" s="23"/>
      <c r="E5" s="23"/>
      <c r="F5" s="23"/>
      <c r="G5" s="23"/>
    </row>
    <row r="7" customFormat="false" ht="42" hidden="false" customHeight="true" outlineLevel="0" collapsed="false">
      <c r="A7" s="9" t="s">
        <v>8</v>
      </c>
      <c r="B7" s="9" t="s">
        <v>9</v>
      </c>
      <c r="C7" s="9" t="s">
        <v>10</v>
      </c>
      <c r="D7" s="9" t="s">
        <v>11</v>
      </c>
      <c r="E7" s="9" t="s">
        <v>61</v>
      </c>
      <c r="F7" s="9" t="s">
        <v>62</v>
      </c>
      <c r="G7" s="9" t="s">
        <v>63</v>
      </c>
    </row>
    <row r="8" customFormat="false" ht="15" hidden="false" customHeight="false" outlineLevel="0" collapsed="false">
      <c r="A8" s="10" t="n">
        <v>1</v>
      </c>
      <c r="B8" s="11" t="s">
        <v>19</v>
      </c>
      <c r="C8" s="11" t="s">
        <v>64</v>
      </c>
      <c r="D8" s="13" t="n">
        <v>87</v>
      </c>
      <c r="E8" s="15" t="n">
        <f aca="false">D8/886</f>
        <v>0.0981941309255079</v>
      </c>
      <c r="F8" s="17" t="n">
        <f aca="false">E8*$D$4</f>
        <v>1184.92428893905</v>
      </c>
      <c r="G8" s="24" t="s">
        <v>65</v>
      </c>
    </row>
    <row r="9" customFormat="false" ht="15" hidden="false" customHeight="false" outlineLevel="0" collapsed="false">
      <c r="A9" s="10" t="n">
        <v>2</v>
      </c>
      <c r="B9" s="11" t="s">
        <v>19</v>
      </c>
      <c r="C9" s="11" t="s">
        <v>22</v>
      </c>
      <c r="D9" s="13" t="n">
        <v>71</v>
      </c>
      <c r="E9" s="15" t="n">
        <f aca="false">D9/886</f>
        <v>0.0801354401805869</v>
      </c>
      <c r="F9" s="17" t="n">
        <f aca="false">E9*$D$4</f>
        <v>967.007178329571</v>
      </c>
      <c r="G9" s="25" t="s">
        <v>66</v>
      </c>
    </row>
    <row r="10" customFormat="false" ht="15" hidden="false" customHeight="false" outlineLevel="0" collapsed="false">
      <c r="A10" s="10" t="n">
        <v>3</v>
      </c>
      <c r="B10" s="11" t="s">
        <v>19</v>
      </c>
      <c r="C10" s="11" t="s">
        <v>25</v>
      </c>
      <c r="D10" s="13" t="n">
        <v>71</v>
      </c>
      <c r="E10" s="15" t="n">
        <f aca="false">D10/886</f>
        <v>0.0801354401805869</v>
      </c>
      <c r="F10" s="17" t="n">
        <f aca="false">E10*$D$4</f>
        <v>967.007178329571</v>
      </c>
      <c r="G10" s="25" t="s">
        <v>66</v>
      </c>
    </row>
    <row r="11" customFormat="false" ht="15" hidden="false" customHeight="false" outlineLevel="0" collapsed="false">
      <c r="A11" s="10" t="n">
        <v>4</v>
      </c>
      <c r="B11" s="11" t="s">
        <v>19</v>
      </c>
      <c r="C11" s="11" t="s">
        <v>28</v>
      </c>
      <c r="D11" s="13" t="n">
        <v>87</v>
      </c>
      <c r="E11" s="15" t="n">
        <f aca="false">D11/886</f>
        <v>0.0981941309255079</v>
      </c>
      <c r="F11" s="17" t="n">
        <f aca="false">E11*$D$4</f>
        <v>1184.92428893905</v>
      </c>
      <c r="G11" s="25" t="s">
        <v>66</v>
      </c>
    </row>
    <row r="12" customFormat="false" ht="15" hidden="false" customHeight="false" outlineLevel="0" collapsed="false">
      <c r="A12" s="10" t="n">
        <v>5</v>
      </c>
      <c r="B12" s="11" t="s">
        <v>19</v>
      </c>
      <c r="C12" s="11" t="s">
        <v>30</v>
      </c>
      <c r="D12" s="13" t="n">
        <v>79</v>
      </c>
      <c r="E12" s="15" t="n">
        <f aca="false">D12/886</f>
        <v>0.0891647855530474</v>
      </c>
      <c r="F12" s="17" t="n">
        <f aca="false">E12*$D$4</f>
        <v>1075.96573363431</v>
      </c>
      <c r="G12" s="25" t="s">
        <v>66</v>
      </c>
    </row>
    <row r="13" customFormat="false" ht="15" hidden="false" customHeight="false" outlineLevel="0" collapsed="false">
      <c r="A13" s="10" t="n">
        <v>6</v>
      </c>
      <c r="B13" s="11" t="s">
        <v>33</v>
      </c>
      <c r="C13" s="11" t="s">
        <v>34</v>
      </c>
      <c r="D13" s="13" t="n">
        <v>64</v>
      </c>
      <c r="E13" s="15" t="n">
        <f aca="false">D13/886</f>
        <v>0.072234762979684</v>
      </c>
      <c r="F13" s="17" t="n">
        <f aca="false">E13*$D$4</f>
        <v>871.668442437923</v>
      </c>
      <c r="G13" s="25" t="s">
        <v>66</v>
      </c>
    </row>
    <row r="14" customFormat="false" ht="15" hidden="false" customHeight="false" outlineLevel="0" collapsed="false">
      <c r="A14" s="10" t="n">
        <v>7</v>
      </c>
      <c r="B14" s="11" t="s">
        <v>19</v>
      </c>
      <c r="C14" s="11" t="s">
        <v>37</v>
      </c>
      <c r="D14" s="13" t="n">
        <v>59</v>
      </c>
      <c r="E14" s="15" t="n">
        <f aca="false">D14/886</f>
        <v>0.0665914221218962</v>
      </c>
      <c r="F14" s="17" t="n">
        <f aca="false">E14*$D$4</f>
        <v>803.569345372461</v>
      </c>
      <c r="G14" s="25" t="s">
        <v>66</v>
      </c>
    </row>
    <row r="15" customFormat="false" ht="15" hidden="false" customHeight="false" outlineLevel="0" collapsed="false">
      <c r="A15" s="10" t="n">
        <v>8</v>
      </c>
      <c r="B15" s="11" t="s">
        <v>19</v>
      </c>
      <c r="C15" s="11" t="s">
        <v>39</v>
      </c>
      <c r="D15" s="13" t="n">
        <v>79</v>
      </c>
      <c r="E15" s="15" t="n">
        <f aca="false">D15/886</f>
        <v>0.0891647855530474</v>
      </c>
      <c r="F15" s="17" t="n">
        <f aca="false">E15*$D$4</f>
        <v>1075.96573363431</v>
      </c>
      <c r="G15" s="25" t="s">
        <v>66</v>
      </c>
    </row>
    <row r="16" customFormat="false" ht="15" hidden="false" customHeight="false" outlineLevel="0" collapsed="false">
      <c r="A16" s="10" t="n">
        <v>9</v>
      </c>
      <c r="B16" s="11" t="s">
        <v>19</v>
      </c>
      <c r="C16" s="11" t="s">
        <v>41</v>
      </c>
      <c r="D16" s="13" t="n">
        <v>80</v>
      </c>
      <c r="E16" s="15" t="n">
        <f aca="false">D16/886</f>
        <v>0.090293453724605</v>
      </c>
      <c r="F16" s="17" t="n">
        <f aca="false">E16*$D$4</f>
        <v>1089.5855530474</v>
      </c>
      <c r="G16" s="25" t="s">
        <v>66</v>
      </c>
    </row>
    <row r="17" customFormat="false" ht="15" hidden="false" customHeight="false" outlineLevel="0" collapsed="false">
      <c r="A17" s="10" t="n">
        <v>10</v>
      </c>
      <c r="B17" s="11" t="s">
        <v>19</v>
      </c>
      <c r="C17" s="11" t="s">
        <v>43</v>
      </c>
      <c r="D17" s="13" t="n">
        <v>62</v>
      </c>
      <c r="E17" s="15" t="n">
        <f aca="false">D17/886</f>
        <v>0.0699774266365689</v>
      </c>
      <c r="F17" s="17" t="n">
        <f aca="false">E17*$D$4</f>
        <v>844.428803611738</v>
      </c>
      <c r="G17" s="25" t="s">
        <v>66</v>
      </c>
    </row>
    <row r="18" customFormat="false" ht="15" hidden="false" customHeight="false" outlineLevel="0" collapsed="false">
      <c r="A18" s="10" t="n">
        <v>11</v>
      </c>
      <c r="B18" s="11" t="s">
        <v>19</v>
      </c>
      <c r="C18" s="11" t="s">
        <v>46</v>
      </c>
      <c r="D18" s="13" t="n">
        <v>62</v>
      </c>
      <c r="E18" s="15" t="n">
        <f aca="false">D18/886</f>
        <v>0.0699774266365689</v>
      </c>
      <c r="F18" s="17" t="n">
        <f aca="false">E18*$D$4</f>
        <v>844.428803611738</v>
      </c>
      <c r="G18" s="25" t="s">
        <v>66</v>
      </c>
    </row>
    <row r="19" customFormat="false" ht="15" hidden="false" customHeight="false" outlineLevel="0" collapsed="false">
      <c r="A19" s="10" t="n">
        <v>12</v>
      </c>
      <c r="B19" s="11" t="s">
        <v>33</v>
      </c>
      <c r="C19" s="11" t="s">
        <v>67</v>
      </c>
      <c r="D19" s="13" t="n">
        <v>85</v>
      </c>
      <c r="E19" s="15" t="n">
        <f aca="false">D19/886</f>
        <v>0.0959367945823928</v>
      </c>
      <c r="F19" s="17" t="n">
        <f aca="false">E19*$D$4</f>
        <v>1157.68465011287</v>
      </c>
      <c r="G19" s="24" t="s">
        <v>65</v>
      </c>
    </row>
    <row r="20" customFormat="false" ht="15" hidden="false" customHeight="false" outlineLevel="0" collapsed="false">
      <c r="A20" s="19" t="s">
        <v>68</v>
      </c>
      <c r="B20" s="19"/>
      <c r="C20" s="19"/>
      <c r="D20" s="20" t="n">
        <f aca="false">SUM(D8:D19)</f>
        <v>886</v>
      </c>
      <c r="E20" s="21" t="n">
        <f aca="false">SUM(E8:E19)</f>
        <v>1</v>
      </c>
      <c r="F20" s="22" t="n">
        <f aca="false">SUM(F8:F19)</f>
        <v>12067.16</v>
      </c>
      <c r="G20" s="20"/>
    </row>
    <row r="22" customFormat="false" ht="15" hidden="false" customHeight="false" outlineLevel="0" collapsed="false">
      <c r="A22" s="26" t="s">
        <v>69</v>
      </c>
      <c r="B22" s="26"/>
      <c r="C22" s="26"/>
      <c r="D22" s="26"/>
      <c r="E22" s="26"/>
      <c r="F22" s="26"/>
      <c r="G22" s="26"/>
    </row>
    <row r="23" customFormat="false" ht="15" hidden="false" customHeight="false" outlineLevel="0" collapsed="false">
      <c r="A23" s="23" t="s">
        <v>70</v>
      </c>
      <c r="B23" s="23"/>
      <c r="C23" s="23"/>
      <c r="D23" s="23"/>
      <c r="E23" s="23"/>
      <c r="F23" s="23"/>
      <c r="G23" s="23"/>
    </row>
    <row r="24" customFormat="false" ht="15" hidden="false" customHeight="false" outlineLevel="0" collapsed="false">
      <c r="A24" s="23" t="s">
        <v>71</v>
      </c>
      <c r="B24" s="23"/>
      <c r="C24" s="23"/>
      <c r="D24" s="23"/>
      <c r="E24" s="23"/>
      <c r="F24" s="23"/>
      <c r="G24" s="23"/>
    </row>
    <row r="25" customFormat="false" ht="15" hidden="false" customHeight="false" outlineLevel="0" collapsed="false">
      <c r="A25" s="23" t="s">
        <v>72</v>
      </c>
      <c r="B25" s="23"/>
      <c r="C25" s="23"/>
      <c r="D25" s="23"/>
      <c r="E25" s="23"/>
      <c r="F25" s="23"/>
      <c r="G25" s="23"/>
    </row>
    <row r="26" customFormat="false" ht="15" hidden="false" customHeight="false" outlineLevel="0" collapsed="false">
      <c r="A26" s="23" t="s">
        <v>73</v>
      </c>
      <c r="B26" s="23"/>
      <c r="C26" s="23"/>
      <c r="D26" s="23"/>
      <c r="E26" s="23"/>
      <c r="F26" s="23"/>
      <c r="G26" s="23"/>
    </row>
    <row r="27" customFormat="false" ht="15" hidden="false" customHeight="false" outlineLevel="0" collapsed="false">
      <c r="A27" s="23" t="s">
        <v>74</v>
      </c>
      <c r="B27" s="23"/>
      <c r="C27" s="23"/>
      <c r="D27" s="23"/>
      <c r="E27" s="23"/>
      <c r="F27" s="23"/>
      <c r="G27" s="23"/>
    </row>
  </sheetData>
  <mergeCells count="11">
    <mergeCell ref="A1:G1"/>
    <mergeCell ref="A2:G2"/>
    <mergeCell ref="A4:C4"/>
    <mergeCell ref="A5:G5"/>
    <mergeCell ref="A20:C20"/>
    <mergeCell ref="A22:G22"/>
    <mergeCell ref="A23:G23"/>
    <mergeCell ref="A24:G24"/>
    <mergeCell ref="A25:G25"/>
    <mergeCell ref="A26:G26"/>
    <mergeCell ref="A27:G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6"/>
    <col collapsed="false" customWidth="true" hidden="false" outlineLevel="0" max="4" min="3" style="0" width="14"/>
    <col collapsed="false" customWidth="true" hidden="false" outlineLevel="0" max="5" min="5" style="0" width="18"/>
    <col collapsed="false" customWidth="true" hidden="false" outlineLevel="0" max="6" min="6" style="0" width="16"/>
    <col collapsed="false" customWidth="true" hidden="false" outlineLevel="0" max="7" min="7" style="0" width="22"/>
    <col collapsed="false" customWidth="true" hidden="false" outlineLevel="0" max="8" min="8" style="0" width="45"/>
  </cols>
  <sheetData>
    <row r="1" customFormat="false" ht="17.35" hidden="false" customHeight="false" outlineLevel="0" collapsed="false">
      <c r="A1" s="27" t="s">
        <v>75</v>
      </c>
      <c r="B1" s="27"/>
      <c r="C1" s="27"/>
      <c r="D1" s="27"/>
      <c r="E1" s="27"/>
      <c r="F1" s="27"/>
      <c r="G1" s="27"/>
      <c r="H1" s="27"/>
    </row>
    <row r="2" customFormat="false" ht="15" hidden="false" customHeight="false" outlineLevel="0" collapsed="false">
      <c r="A2" s="2" t="s">
        <v>76</v>
      </c>
      <c r="B2" s="2"/>
      <c r="C2" s="2"/>
      <c r="D2" s="2"/>
      <c r="E2" s="2"/>
      <c r="F2" s="2"/>
      <c r="G2" s="2"/>
      <c r="H2" s="2"/>
    </row>
    <row r="3" customFormat="false" ht="15" hidden="false" customHeight="false" outlineLevel="0" collapsed="false">
      <c r="A3" s="3" t="s">
        <v>77</v>
      </c>
      <c r="B3" s="3"/>
      <c r="C3" s="3"/>
      <c r="D3" s="3"/>
      <c r="E3" s="3"/>
      <c r="F3" s="3"/>
      <c r="G3" s="3"/>
      <c r="H3" s="3"/>
    </row>
    <row r="5" customFormat="false" ht="15" hidden="false" customHeight="false" outlineLevel="0" collapsed="false">
      <c r="A5" s="4" t="s">
        <v>78</v>
      </c>
      <c r="B5" s="4"/>
      <c r="C5" s="4"/>
      <c r="D5" s="4"/>
      <c r="E5" s="4"/>
      <c r="F5" s="4"/>
      <c r="G5" s="4"/>
      <c r="H5" s="4"/>
    </row>
    <row r="6" customFormat="false" ht="15" hidden="false" customHeight="false" outlineLevel="0" collapsed="false">
      <c r="A6" s="28" t="s">
        <v>79</v>
      </c>
      <c r="B6" s="6" t="n">
        <v>113747.21</v>
      </c>
      <c r="C6" s="23" t="s">
        <v>80</v>
      </c>
      <c r="D6" s="23"/>
      <c r="E6" s="23"/>
      <c r="F6" s="23"/>
      <c r="G6" s="23"/>
      <c r="H6" s="23"/>
    </row>
    <row r="7" customFormat="false" ht="15" hidden="false" customHeight="false" outlineLevel="0" collapsed="false">
      <c r="A7" s="28" t="s">
        <v>81</v>
      </c>
      <c r="B7" s="6" t="n">
        <v>12067.16</v>
      </c>
      <c r="C7" s="23" t="s">
        <v>82</v>
      </c>
      <c r="D7" s="23"/>
      <c r="E7" s="23"/>
      <c r="F7" s="23"/>
      <c r="G7" s="23"/>
      <c r="H7" s="23"/>
    </row>
    <row r="8" customFormat="false" ht="15" hidden="false" customHeight="false" outlineLevel="0" collapsed="false">
      <c r="A8" s="28" t="s">
        <v>83</v>
      </c>
      <c r="B8" s="29" t="n">
        <f aca="false">B6-B7</f>
        <v>101680.05</v>
      </c>
      <c r="C8" s="23" t="s">
        <v>84</v>
      </c>
      <c r="D8" s="23"/>
      <c r="E8" s="23"/>
      <c r="F8" s="23"/>
      <c r="G8" s="23"/>
      <c r="H8" s="23"/>
    </row>
    <row r="9" customFormat="false" ht="15" hidden="false" customHeight="false" outlineLevel="0" collapsed="false">
      <c r="A9" s="28" t="s">
        <v>85</v>
      </c>
      <c r="B9" s="6" t="n">
        <v>88000</v>
      </c>
      <c r="C9" s="23" t="s">
        <v>86</v>
      </c>
      <c r="D9" s="23"/>
      <c r="E9" s="23"/>
      <c r="F9" s="23"/>
      <c r="G9" s="23"/>
      <c r="H9" s="23"/>
    </row>
    <row r="10" customFormat="false" ht="15" hidden="false" customHeight="false" outlineLevel="0" collapsed="false">
      <c r="A10" s="28" t="s">
        <v>87</v>
      </c>
      <c r="B10" s="30" t="n">
        <f aca="false">B7</f>
        <v>12067.16</v>
      </c>
      <c r="C10" s="23" t="s">
        <v>88</v>
      </c>
      <c r="D10" s="23"/>
      <c r="E10" s="23"/>
      <c r="F10" s="23"/>
      <c r="G10" s="23"/>
      <c r="H10" s="23"/>
    </row>
    <row r="11" customFormat="false" ht="15" hidden="false" customHeight="false" outlineLevel="0" collapsed="false">
      <c r="A11" s="28" t="s">
        <v>89</v>
      </c>
      <c r="B11" s="29" t="n">
        <f aca="false">B9-B7</f>
        <v>75932.84</v>
      </c>
      <c r="C11" s="23" t="s">
        <v>90</v>
      </c>
      <c r="D11" s="23"/>
      <c r="E11" s="23"/>
      <c r="F11" s="23"/>
      <c r="G11" s="23"/>
      <c r="H11" s="23"/>
    </row>
    <row r="12" customFormat="false" ht="15" hidden="false" customHeight="false" outlineLevel="0" collapsed="false">
      <c r="A12" s="28" t="s">
        <v>91</v>
      </c>
      <c r="B12" s="8" t="n">
        <f aca="false">B8-B11</f>
        <v>25747.21</v>
      </c>
      <c r="C12" s="23" t="s">
        <v>92</v>
      </c>
      <c r="D12" s="23"/>
      <c r="E12" s="23"/>
      <c r="F12" s="23"/>
      <c r="G12" s="23"/>
      <c r="H12" s="23"/>
    </row>
    <row r="14" customFormat="false" ht="15" hidden="false" customHeight="false" outlineLevel="0" collapsed="false">
      <c r="A14" s="5" t="s">
        <v>93</v>
      </c>
      <c r="B14" s="5"/>
      <c r="C14" s="5"/>
      <c r="D14" s="5"/>
      <c r="E14" s="31" t="n">
        <v>714</v>
      </c>
    </row>
    <row r="17" customFormat="false" ht="45" hidden="false" customHeight="true" outlineLevel="0" collapsed="false">
      <c r="A17" s="9" t="s">
        <v>8</v>
      </c>
      <c r="B17" s="9" t="s">
        <v>10</v>
      </c>
      <c r="C17" s="9" t="s">
        <v>11</v>
      </c>
      <c r="D17" s="9" t="s">
        <v>94</v>
      </c>
      <c r="E17" s="9" t="s">
        <v>95</v>
      </c>
      <c r="F17" s="9" t="s">
        <v>17</v>
      </c>
      <c r="G17" s="9" t="s">
        <v>96</v>
      </c>
      <c r="H17" s="9" t="s">
        <v>97</v>
      </c>
    </row>
    <row r="18" customFormat="false" ht="15" hidden="false" customHeight="false" outlineLevel="0" collapsed="false">
      <c r="A18" s="10" t="n">
        <v>1</v>
      </c>
      <c r="B18" s="11" t="s">
        <v>64</v>
      </c>
      <c r="C18" s="13" t="n">
        <v>87</v>
      </c>
      <c r="D18" s="14" t="s">
        <v>21</v>
      </c>
      <c r="E18" s="32" t="n">
        <v>0</v>
      </c>
      <c r="F18" s="17" t="n">
        <v>0</v>
      </c>
      <c r="G18" s="17" t="n">
        <f aca="false">F18-E18</f>
        <v>0</v>
      </c>
      <c r="H18" s="24" t="s">
        <v>98</v>
      </c>
    </row>
    <row r="19" customFormat="false" ht="15" hidden="false" customHeight="false" outlineLevel="0" collapsed="false">
      <c r="A19" s="10" t="n">
        <v>2</v>
      </c>
      <c r="B19" s="11" t="s">
        <v>22</v>
      </c>
      <c r="C19" s="13" t="n">
        <v>71</v>
      </c>
      <c r="D19" s="15" t="n">
        <f aca="false">C19/$E$14</f>
        <v>0.0994397759103641</v>
      </c>
      <c r="E19" s="17" t="n">
        <f aca="false">D19*$B$12</f>
        <v>2560.29679271709</v>
      </c>
      <c r="F19" s="18" t="n">
        <v>5874.19</v>
      </c>
      <c r="G19" s="17" t="n">
        <f aca="false">F19-E19</f>
        <v>3313.89320728291</v>
      </c>
      <c r="H19" s="25"/>
    </row>
    <row r="20" customFormat="false" ht="15" hidden="false" customHeight="false" outlineLevel="0" collapsed="false">
      <c r="A20" s="10" t="n">
        <v>3</v>
      </c>
      <c r="B20" s="11" t="s">
        <v>25</v>
      </c>
      <c r="C20" s="13" t="n">
        <v>71</v>
      </c>
      <c r="D20" s="15" t="n">
        <f aca="false">C20/$E$14</f>
        <v>0.0994397759103641</v>
      </c>
      <c r="E20" s="17" t="n">
        <f aca="false">D20*$B$12</f>
        <v>2560.29679271709</v>
      </c>
      <c r="F20" s="18" t="n">
        <v>5874.19</v>
      </c>
      <c r="G20" s="17" t="n">
        <f aca="false">F20-E20</f>
        <v>3313.89320728291</v>
      </c>
      <c r="H20" s="25"/>
    </row>
    <row r="21" customFormat="false" ht="15" hidden="false" customHeight="false" outlineLevel="0" collapsed="false">
      <c r="A21" s="10" t="n">
        <v>4</v>
      </c>
      <c r="B21" s="11" t="s">
        <v>28</v>
      </c>
      <c r="C21" s="13" t="n">
        <v>87</v>
      </c>
      <c r="D21" s="15" t="n">
        <f aca="false">C21/$E$14</f>
        <v>0.121848739495798</v>
      </c>
      <c r="E21" s="17" t="n">
        <f aca="false">D21*$B$12</f>
        <v>3137.26508403361</v>
      </c>
      <c r="F21" s="18" t="n">
        <v>10545.19</v>
      </c>
      <c r="G21" s="17" t="n">
        <f aca="false">F21-E21</f>
        <v>7407.92491596639</v>
      </c>
      <c r="H21" s="25"/>
    </row>
    <row r="22" customFormat="false" ht="15" hidden="false" customHeight="false" outlineLevel="0" collapsed="false">
      <c r="A22" s="10" t="n">
        <v>5</v>
      </c>
      <c r="B22" s="11" t="s">
        <v>30</v>
      </c>
      <c r="C22" s="13" t="n">
        <v>79</v>
      </c>
      <c r="D22" s="15" t="n">
        <f aca="false">C22/$E$14</f>
        <v>0.110644257703081</v>
      </c>
      <c r="E22" s="17" t="n">
        <f aca="false">D22*$B$12</f>
        <v>2848.78093837535</v>
      </c>
      <c r="F22" s="18" t="n">
        <v>6536.07</v>
      </c>
      <c r="G22" s="17" t="n">
        <f aca="false">F22-E22</f>
        <v>3687.28906162465</v>
      </c>
      <c r="H22" s="25"/>
    </row>
    <row r="23" customFormat="false" ht="15" hidden="false" customHeight="false" outlineLevel="0" collapsed="false">
      <c r="A23" s="10" t="n">
        <v>6</v>
      </c>
      <c r="B23" s="11" t="s">
        <v>34</v>
      </c>
      <c r="C23" s="13" t="n">
        <v>64</v>
      </c>
      <c r="D23" s="15" t="n">
        <f aca="false">C23/$E$14</f>
        <v>0.0896358543417367</v>
      </c>
      <c r="E23" s="17" t="n">
        <f aca="false">D23*$B$12</f>
        <v>2307.87316526611</v>
      </c>
      <c r="F23" s="18" t="n">
        <v>7757.38</v>
      </c>
      <c r="G23" s="17" t="n">
        <f aca="false">F23-E23</f>
        <v>5449.50683473389</v>
      </c>
      <c r="H23" s="25"/>
    </row>
    <row r="24" customFormat="false" ht="15" hidden="false" customHeight="false" outlineLevel="0" collapsed="false">
      <c r="A24" s="10" t="n">
        <v>7</v>
      </c>
      <c r="B24" s="11" t="s">
        <v>37</v>
      </c>
      <c r="C24" s="13" t="n">
        <v>59</v>
      </c>
      <c r="D24" s="15" t="n">
        <f aca="false">C24/$E$14</f>
        <v>0.0826330532212885</v>
      </c>
      <c r="E24" s="17" t="n">
        <f aca="false">D24*$B$12</f>
        <v>2127.57057422969</v>
      </c>
      <c r="F24" s="18" t="n">
        <v>7151.34</v>
      </c>
      <c r="G24" s="17" t="n">
        <f aca="false">F24-E24</f>
        <v>5023.76942577031</v>
      </c>
      <c r="H24" s="25"/>
    </row>
    <row r="25" customFormat="false" ht="15" hidden="false" customHeight="false" outlineLevel="0" collapsed="false">
      <c r="A25" s="10" t="n">
        <v>8</v>
      </c>
      <c r="B25" s="11" t="s">
        <v>39</v>
      </c>
      <c r="C25" s="13" t="n">
        <v>79</v>
      </c>
      <c r="D25" s="15" t="n">
        <f aca="false">C25/$E$14</f>
        <v>0.110644257703081</v>
      </c>
      <c r="E25" s="17" t="n">
        <f aca="false">D25*$B$12</f>
        <v>2848.78093837535</v>
      </c>
      <c r="F25" s="18" t="n">
        <v>6536.07</v>
      </c>
      <c r="G25" s="17" t="n">
        <f aca="false">F25-E25</f>
        <v>3687.28906162465</v>
      </c>
      <c r="H25" s="25"/>
    </row>
    <row r="26" customFormat="false" ht="15" hidden="false" customHeight="false" outlineLevel="0" collapsed="false">
      <c r="A26" s="10" t="n">
        <v>9</v>
      </c>
      <c r="B26" s="11" t="s">
        <v>41</v>
      </c>
      <c r="C26" s="13" t="n">
        <v>80</v>
      </c>
      <c r="D26" s="15" t="n">
        <f aca="false">C26/$E$14</f>
        <v>0.112044817927171</v>
      </c>
      <c r="E26" s="17" t="n">
        <f aca="false">D26*$B$12</f>
        <v>2884.84145658263</v>
      </c>
      <c r="F26" s="18" t="n">
        <v>6618.8</v>
      </c>
      <c r="G26" s="17" t="n">
        <f aca="false">F26-E26</f>
        <v>3733.95854341737</v>
      </c>
      <c r="H26" s="25"/>
    </row>
    <row r="27" customFormat="false" ht="15" hidden="false" customHeight="false" outlineLevel="0" collapsed="false">
      <c r="A27" s="10" t="n">
        <v>10</v>
      </c>
      <c r="B27" s="11" t="s">
        <v>43</v>
      </c>
      <c r="C27" s="13" t="n">
        <v>62</v>
      </c>
      <c r="D27" s="15" t="n">
        <f aca="false">C27/$E$14</f>
        <v>0.0868347338935574</v>
      </c>
      <c r="E27" s="17" t="n">
        <f aca="false">D27*$B$12</f>
        <v>2235.75212885154</v>
      </c>
      <c r="F27" s="18" t="n">
        <v>5000</v>
      </c>
      <c r="G27" s="17" t="n">
        <f aca="false">F27-E27</f>
        <v>2764.24787114846</v>
      </c>
      <c r="H27" s="25"/>
    </row>
    <row r="28" customFormat="false" ht="15" hidden="false" customHeight="false" outlineLevel="0" collapsed="false">
      <c r="A28" s="10" t="n">
        <v>11</v>
      </c>
      <c r="B28" s="11" t="s">
        <v>46</v>
      </c>
      <c r="C28" s="13" t="n">
        <v>62</v>
      </c>
      <c r="D28" s="15" t="n">
        <f aca="false">C28/$E$14</f>
        <v>0.0868347338935574</v>
      </c>
      <c r="E28" s="17" t="n">
        <f aca="false">D28*$B$12</f>
        <v>2235.75212885154</v>
      </c>
      <c r="F28" s="18" t="n">
        <v>7514.96</v>
      </c>
      <c r="G28" s="17" t="n">
        <f aca="false">F28-E28</f>
        <v>5279.20787114846</v>
      </c>
      <c r="H28" s="25"/>
    </row>
    <row r="29" customFormat="false" ht="15" hidden="false" customHeight="false" outlineLevel="0" collapsed="false">
      <c r="A29" s="10" t="n">
        <v>12</v>
      </c>
      <c r="B29" s="11" t="s">
        <v>67</v>
      </c>
      <c r="C29" s="13" t="n">
        <v>85</v>
      </c>
      <c r="D29" s="14" t="s">
        <v>21</v>
      </c>
      <c r="E29" s="32" t="n">
        <v>0</v>
      </c>
      <c r="F29" s="17" t="n">
        <v>0</v>
      </c>
      <c r="G29" s="17" t="n">
        <f aca="false">F29-E29</f>
        <v>0</v>
      </c>
      <c r="H29" s="24" t="s">
        <v>98</v>
      </c>
    </row>
    <row r="30" customFormat="false" ht="15" hidden="false" customHeight="false" outlineLevel="0" collapsed="false">
      <c r="A30" s="19" t="s">
        <v>68</v>
      </c>
      <c r="B30" s="19"/>
      <c r="C30" s="19"/>
      <c r="D30" s="20"/>
      <c r="E30" s="22" t="n">
        <f aca="false">SUM(E18:E29)</f>
        <v>25747.21</v>
      </c>
      <c r="F30" s="22" t="n">
        <f aca="false">SUM(F18:F29)</f>
        <v>69408.19</v>
      </c>
      <c r="G30" s="22" t="n">
        <f aca="false">SUM(G18:G29)</f>
        <v>43660.98</v>
      </c>
      <c r="H30" s="20"/>
    </row>
    <row r="32" customFormat="false" ht="15" hidden="false" customHeight="false" outlineLevel="0" collapsed="false">
      <c r="A32" s="26" t="s">
        <v>99</v>
      </c>
      <c r="B32" s="26"/>
      <c r="C32" s="26"/>
      <c r="D32" s="26"/>
      <c r="E32" s="26"/>
      <c r="F32" s="26"/>
      <c r="G32" s="26"/>
      <c r="H32" s="26"/>
    </row>
    <row r="33" customFormat="false" ht="15" hidden="false" customHeight="false" outlineLevel="0" collapsed="false">
      <c r="A33" s="23" t="s">
        <v>100</v>
      </c>
      <c r="B33" s="23"/>
      <c r="C33" s="23"/>
      <c r="D33" s="23"/>
      <c r="E33" s="23"/>
      <c r="F33" s="23"/>
      <c r="G33" s="23"/>
      <c r="H33" s="23"/>
    </row>
    <row r="34" customFormat="false" ht="15" hidden="false" customHeight="false" outlineLevel="0" collapsed="false">
      <c r="A34" s="23" t="s">
        <v>101</v>
      </c>
      <c r="B34" s="23"/>
      <c r="C34" s="23"/>
      <c r="D34" s="23"/>
      <c r="E34" s="23"/>
      <c r="F34" s="23"/>
      <c r="G34" s="23"/>
      <c r="H34" s="23"/>
    </row>
    <row r="35" customFormat="false" ht="15" hidden="false" customHeight="false" outlineLevel="0" collapsed="false">
      <c r="A35" s="23" t="s">
        <v>102</v>
      </c>
      <c r="B35" s="23"/>
      <c r="C35" s="23"/>
      <c r="D35" s="23"/>
      <c r="E35" s="23"/>
      <c r="F35" s="23"/>
      <c r="G35" s="23"/>
      <c r="H35" s="23"/>
    </row>
    <row r="36" customFormat="false" ht="15" hidden="false" customHeight="false" outlineLevel="0" collapsed="false">
      <c r="A36" s="23" t="s">
        <v>103</v>
      </c>
      <c r="B36" s="23"/>
      <c r="C36" s="23"/>
      <c r="D36" s="23"/>
      <c r="E36" s="23"/>
      <c r="F36" s="23"/>
      <c r="G36" s="23"/>
      <c r="H36" s="23"/>
    </row>
    <row r="37" customFormat="false" ht="15" hidden="false" customHeight="false" outlineLevel="0" collapsed="false">
      <c r="A37" s="23" t="s">
        <v>104</v>
      </c>
      <c r="B37" s="23"/>
      <c r="C37" s="23"/>
      <c r="D37" s="23"/>
      <c r="E37" s="23"/>
      <c r="F37" s="23"/>
      <c r="G37" s="23"/>
      <c r="H37" s="23"/>
    </row>
    <row r="38" customFormat="false" ht="15" hidden="false" customHeight="false" outlineLevel="0" collapsed="false">
      <c r="A38" s="23" t="s">
        <v>105</v>
      </c>
      <c r="B38" s="23"/>
      <c r="C38" s="23"/>
      <c r="D38" s="23"/>
      <c r="E38" s="23"/>
      <c r="F38" s="23"/>
      <c r="G38" s="23"/>
      <c r="H38" s="23"/>
    </row>
  </sheetData>
  <mergeCells count="20">
    <mergeCell ref="A1:H1"/>
    <mergeCell ref="A2:H2"/>
    <mergeCell ref="A3:H3"/>
    <mergeCell ref="A5:H5"/>
    <mergeCell ref="C6:H6"/>
    <mergeCell ref="C7:H7"/>
    <mergeCell ref="C8:H8"/>
    <mergeCell ref="C9:H9"/>
    <mergeCell ref="C10:H10"/>
    <mergeCell ref="C11:H11"/>
    <mergeCell ref="C12:H12"/>
    <mergeCell ref="A14:D14"/>
    <mergeCell ref="A30:C30"/>
    <mergeCell ref="A32:H32"/>
    <mergeCell ref="A33:H33"/>
    <mergeCell ref="A34:H34"/>
    <mergeCell ref="A35:H35"/>
    <mergeCell ref="A36:H36"/>
    <mergeCell ref="A37:H37"/>
    <mergeCell ref="A38:H3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6"/>
    <col collapsed="false" customWidth="true" hidden="false" outlineLevel="0" max="2" min="2" style="0" width="18"/>
    <col collapsed="false" customWidth="true" hidden="false" outlineLevel="0" max="3" min="3" style="0" width="50"/>
  </cols>
  <sheetData>
    <row r="1" customFormat="false" ht="17.35" hidden="false" customHeight="false" outlineLevel="0" collapsed="false">
      <c r="A1" s="1" t="s">
        <v>106</v>
      </c>
      <c r="B1" s="1"/>
      <c r="C1" s="1"/>
    </row>
    <row r="2" customFormat="false" ht="15" hidden="false" customHeight="false" outlineLevel="0" collapsed="false">
      <c r="A2" s="33" t="s">
        <v>107</v>
      </c>
      <c r="B2" s="33" t="s">
        <v>108</v>
      </c>
      <c r="C2" s="33" t="s">
        <v>63</v>
      </c>
    </row>
    <row r="3" customFormat="false" ht="15" hidden="false" customHeight="false" outlineLevel="0" collapsed="false">
      <c r="A3" s="34" t="s">
        <v>109</v>
      </c>
      <c r="B3" s="35" t="n">
        <f aca="false">'Neuberechnung Einzelkosten'!D6</f>
        <v>113747.21</v>
      </c>
      <c r="C3" s="25" t="s">
        <v>110</v>
      </c>
    </row>
    <row r="4" customFormat="false" ht="15" hidden="false" customHeight="false" outlineLevel="0" collapsed="false">
      <c r="A4" s="34" t="s">
        <v>111</v>
      </c>
      <c r="B4" s="35" t="n">
        <f aca="false">'Neuberechnung Einzelkosten'!D7</f>
        <v>88000</v>
      </c>
      <c r="C4" s="25" t="s">
        <v>86</v>
      </c>
    </row>
    <row r="5" customFormat="false" ht="15" hidden="false" customHeight="false" outlineLevel="0" collapsed="false">
      <c r="A5" s="34" t="s">
        <v>112</v>
      </c>
      <c r="B5" s="35" t="n">
        <f aca="false">B3-B4</f>
        <v>25747.21</v>
      </c>
      <c r="C5" s="25" t="s">
        <v>113</v>
      </c>
    </row>
    <row r="6" customFormat="false" ht="15" hidden="false" customHeight="false" outlineLevel="0" collapsed="false">
      <c r="A6" s="34"/>
      <c r="B6" s="35"/>
      <c r="C6" s="25"/>
    </row>
    <row r="7" customFormat="false" ht="15" hidden="false" customHeight="false" outlineLevel="0" collapsed="false">
      <c r="A7" s="34" t="s">
        <v>114</v>
      </c>
      <c r="B7" s="35" t="n">
        <f aca="false">SUM('Neuberechnung Einzelkosten'!I13:I24)</f>
        <v>25747.21</v>
      </c>
      <c r="C7" s="25" t="s">
        <v>115</v>
      </c>
    </row>
    <row r="8" customFormat="false" ht="15" hidden="false" customHeight="false" outlineLevel="0" collapsed="false">
      <c r="A8" s="34" t="s">
        <v>116</v>
      </c>
      <c r="B8" s="35" t="n">
        <f aca="false">B7-B5</f>
        <v>0</v>
      </c>
      <c r="C8" s="25" t="s">
        <v>117</v>
      </c>
    </row>
    <row r="9" customFormat="false" ht="15" hidden="false" customHeight="false" outlineLevel="0" collapsed="false">
      <c r="A9" s="34"/>
      <c r="B9" s="35"/>
      <c r="C9" s="25"/>
    </row>
    <row r="10" customFormat="false" ht="15" hidden="false" customHeight="false" outlineLevel="0" collapsed="false">
      <c r="A10" s="34" t="s">
        <v>118</v>
      </c>
      <c r="B10" s="35" t="n">
        <f aca="false">SUM('Neuberechnung Einzelkosten'!J13:J24)</f>
        <v>69408.19</v>
      </c>
      <c r="C10" s="25" t="s">
        <v>119</v>
      </c>
    </row>
    <row r="11" customFormat="false" ht="15" hidden="false" customHeight="false" outlineLevel="0" collapsed="false">
      <c r="A11" s="34" t="s">
        <v>120</v>
      </c>
      <c r="B11" s="35" t="n">
        <f aca="false">SUM('Neuberechnung Einzelkosten'!K13:K24)</f>
        <v>43660.98</v>
      </c>
      <c r="C11" s="25" t="s">
        <v>121</v>
      </c>
    </row>
    <row r="12" customFormat="false" ht="15" hidden="false" customHeight="false" outlineLevel="0" collapsed="false">
      <c r="A12" s="34" t="s">
        <v>122</v>
      </c>
      <c r="B12" s="35" t="n">
        <f aca="false">B10-B7</f>
        <v>43660.98</v>
      </c>
      <c r="C12" s="25" t="s">
        <v>123</v>
      </c>
    </row>
    <row r="13" customFormat="false" ht="15" hidden="false" customHeight="false" outlineLevel="0" collapsed="false">
      <c r="A13" s="34" t="s">
        <v>116</v>
      </c>
      <c r="B13" s="35" t="n">
        <f aca="false">B12-B11</f>
        <v>0</v>
      </c>
      <c r="C13" s="25"/>
    </row>
    <row r="14" customFormat="false" ht="15" hidden="false" customHeight="false" outlineLevel="0" collapsed="false">
      <c r="A14" s="34"/>
      <c r="B14" s="35"/>
      <c r="C14" s="25"/>
    </row>
    <row r="15" customFormat="false" ht="15" hidden="false" customHeight="false" outlineLevel="0" collapsed="false">
      <c r="A15" s="34" t="s">
        <v>59</v>
      </c>
      <c r="B15" s="35" t="n">
        <f aca="false">Allgemeinbereich!D4</f>
        <v>12067.16</v>
      </c>
      <c r="C15" s="25" t="s">
        <v>124</v>
      </c>
    </row>
    <row r="16" customFormat="false" ht="15" hidden="false" customHeight="false" outlineLevel="0" collapsed="false">
      <c r="A16" s="34" t="s">
        <v>125</v>
      </c>
      <c r="B16" s="35" t="n">
        <f aca="false">Allgemeinbereich!F8</f>
        <v>1184.92428893905</v>
      </c>
      <c r="C16" s="25"/>
    </row>
    <row r="17" customFormat="false" ht="15" hidden="false" customHeight="false" outlineLevel="0" collapsed="false">
      <c r="A17" s="34" t="s">
        <v>126</v>
      </c>
      <c r="B17" s="35" t="n">
        <f aca="false">Allgemeinbereich!F19</f>
        <v>1157.68465011287</v>
      </c>
      <c r="C17" s="25"/>
    </row>
    <row r="18" customFormat="false" ht="15" hidden="false" customHeight="false" outlineLevel="0" collapsed="false">
      <c r="A18" s="34" t="s">
        <v>127</v>
      </c>
      <c r="B18" s="35" t="n">
        <f aca="false">B16+B17</f>
        <v>2342.60893905192</v>
      </c>
      <c r="C18" s="25" t="s">
        <v>128</v>
      </c>
    </row>
    <row r="19" customFormat="false" ht="15" hidden="false" customHeight="false" outlineLevel="0" collapsed="false">
      <c r="A19" s="34"/>
      <c r="B19" s="35"/>
      <c r="C19" s="25"/>
    </row>
    <row r="20" customFormat="false" ht="15" hidden="false" customHeight="false" outlineLevel="0" collapsed="false">
      <c r="A20" s="34" t="s">
        <v>129</v>
      </c>
      <c r="B20" s="35"/>
      <c r="C20" s="25"/>
    </row>
    <row r="21" customFormat="false" ht="15" hidden="false" customHeight="false" outlineLevel="0" collapsed="false">
      <c r="A21" s="34" t="s">
        <v>130</v>
      </c>
      <c r="B21" s="35" t="n">
        <f aca="false">SUM('Neuberechnung Einzelkosten'!H13:H24)</f>
        <v>51469.54</v>
      </c>
      <c r="C21" s="25" t="s">
        <v>131</v>
      </c>
    </row>
    <row r="22" customFormat="false" ht="15" hidden="false" customHeight="false" outlineLevel="0" collapsed="false">
      <c r="A22" s="34" t="s">
        <v>132</v>
      </c>
      <c r="B22" s="35" t="n">
        <f aca="false">Allgemeinbereich!D4</f>
        <v>12067.16</v>
      </c>
      <c r="C22" s="25" t="s">
        <v>133</v>
      </c>
    </row>
    <row r="23" customFormat="false" ht="15" hidden="false" customHeight="false" outlineLevel="0" collapsed="false">
      <c r="A23" s="34" t="s">
        <v>134</v>
      </c>
      <c r="B23" s="35" t="n">
        <f aca="false">B21+B22</f>
        <v>63536.7</v>
      </c>
      <c r="C23" s="25" t="s">
        <v>135</v>
      </c>
    </row>
    <row r="24" customFormat="false" ht="15" hidden="false" customHeight="false" outlineLevel="0" collapsed="false">
      <c r="A24" s="36" t="s">
        <v>136</v>
      </c>
      <c r="B24" s="37" t="n">
        <f aca="false">B3-B23</f>
        <v>50210.51</v>
      </c>
      <c r="C24" s="38" t="s">
        <v>137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60"/>
    <col collapsed="false" customWidth="true" hidden="false" outlineLevel="0" max="4" min="3" style="0" width="14"/>
    <col collapsed="false" customWidth="true" hidden="false" outlineLevel="0" max="5" min="5" style="0" width="16"/>
    <col collapsed="false" customWidth="true" hidden="false" outlineLevel="0" max="6" min="6" style="0" width="22"/>
  </cols>
  <sheetData>
    <row r="1" customFormat="false" ht="17.35" hidden="false" customHeight="false" outlineLevel="0" collapsed="false">
      <c r="A1" s="1" t="s">
        <v>138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3" t="s">
        <v>139</v>
      </c>
      <c r="B2" s="23"/>
      <c r="C2" s="23"/>
      <c r="D2" s="23"/>
      <c r="E2" s="23"/>
      <c r="F2" s="23"/>
    </row>
    <row r="4" customFormat="false" ht="15" hidden="false" customHeight="false" outlineLevel="0" collapsed="false">
      <c r="A4" s="33" t="s">
        <v>8</v>
      </c>
      <c r="B4" s="33" t="s">
        <v>10</v>
      </c>
      <c r="C4" s="33" t="s">
        <v>140</v>
      </c>
      <c r="D4" s="33" t="s">
        <v>141</v>
      </c>
      <c r="E4" s="33" t="s">
        <v>142</v>
      </c>
      <c r="F4" s="33" t="s">
        <v>143</v>
      </c>
    </row>
    <row r="5" customFormat="false" ht="15" hidden="false" customHeight="false" outlineLevel="0" collapsed="false">
      <c r="A5" s="10" t="n">
        <v>1</v>
      </c>
      <c r="B5" s="11" t="s">
        <v>64</v>
      </c>
      <c r="C5" s="10" t="s">
        <v>144</v>
      </c>
      <c r="D5" s="10" t="s">
        <v>21</v>
      </c>
      <c r="E5" s="10" t="s">
        <v>21</v>
      </c>
      <c r="F5" s="10" t="s">
        <v>21</v>
      </c>
    </row>
    <row r="6" customFormat="false" ht="15" hidden="false" customHeight="false" outlineLevel="0" collapsed="false">
      <c r="A6" s="10" t="n">
        <v>2</v>
      </c>
      <c r="B6" s="11" t="s">
        <v>22</v>
      </c>
      <c r="C6" s="10" t="s">
        <v>23</v>
      </c>
      <c r="D6" s="10" t="s">
        <v>24</v>
      </c>
      <c r="E6" s="17" t="n">
        <v>3302.91</v>
      </c>
      <c r="F6" s="17" t="n">
        <v>3963.49</v>
      </c>
    </row>
    <row r="7" customFormat="false" ht="15" hidden="false" customHeight="false" outlineLevel="0" collapsed="false">
      <c r="A7" s="10" t="n">
        <v>3</v>
      </c>
      <c r="B7" s="11" t="s">
        <v>25</v>
      </c>
      <c r="C7" s="10" t="s">
        <v>26</v>
      </c>
      <c r="D7" s="10" t="s">
        <v>27</v>
      </c>
      <c r="E7" s="17" t="n">
        <v>3409.19</v>
      </c>
      <c r="F7" s="17" t="n">
        <v>4091.03</v>
      </c>
    </row>
    <row r="8" customFormat="false" ht="15" hidden="false" customHeight="false" outlineLevel="0" collapsed="false">
      <c r="A8" s="10" t="n">
        <v>4</v>
      </c>
      <c r="B8" s="11" t="s">
        <v>28</v>
      </c>
      <c r="C8" s="10" t="s">
        <v>29</v>
      </c>
      <c r="D8" s="10" t="s">
        <v>24</v>
      </c>
      <c r="E8" s="17" t="n">
        <v>5138.64</v>
      </c>
      <c r="F8" s="17" t="n">
        <v>6166.37</v>
      </c>
    </row>
    <row r="9" customFormat="false" ht="15" hidden="false" customHeight="false" outlineLevel="0" collapsed="false">
      <c r="A9" s="10" t="n">
        <v>5</v>
      </c>
      <c r="B9" s="11" t="s">
        <v>30</v>
      </c>
      <c r="C9" s="10" t="s">
        <v>31</v>
      </c>
      <c r="D9" s="10" t="s">
        <v>32</v>
      </c>
      <c r="E9" s="17" t="n">
        <v>5710.39</v>
      </c>
      <c r="F9" s="17" t="n">
        <v>6852.47</v>
      </c>
    </row>
    <row r="10" customFormat="false" ht="15" hidden="false" customHeight="false" outlineLevel="0" collapsed="false">
      <c r="A10" s="10" t="n">
        <v>6</v>
      </c>
      <c r="B10" s="11" t="s">
        <v>34</v>
      </c>
      <c r="C10" s="10" t="s">
        <v>35</v>
      </c>
      <c r="D10" s="10" t="s">
        <v>36</v>
      </c>
      <c r="E10" s="17" t="n">
        <v>4022.91</v>
      </c>
      <c r="F10" s="17" t="n">
        <v>4827.49</v>
      </c>
    </row>
    <row r="11" customFormat="false" ht="15" hidden="false" customHeight="false" outlineLevel="0" collapsed="false">
      <c r="A11" s="10" t="n">
        <v>7</v>
      </c>
      <c r="B11" s="11" t="s">
        <v>37</v>
      </c>
      <c r="C11" s="10" t="s">
        <v>38</v>
      </c>
      <c r="D11" s="10" t="s">
        <v>27</v>
      </c>
      <c r="E11" s="17" t="n">
        <v>4253.75</v>
      </c>
      <c r="F11" s="17" t="n">
        <v>5104.5</v>
      </c>
    </row>
    <row r="12" customFormat="false" ht="15" hidden="false" customHeight="false" outlineLevel="0" collapsed="false">
      <c r="A12" s="10" t="n">
        <v>8</v>
      </c>
      <c r="B12" s="11" t="s">
        <v>39</v>
      </c>
      <c r="C12" s="10" t="s">
        <v>40</v>
      </c>
      <c r="D12" s="10" t="s">
        <v>27</v>
      </c>
      <c r="E12" s="17" t="n">
        <v>5978.39</v>
      </c>
      <c r="F12" s="17" t="n">
        <v>7174.07</v>
      </c>
    </row>
    <row r="13" customFormat="false" ht="15" hidden="false" customHeight="false" outlineLevel="0" collapsed="false">
      <c r="A13" s="10" t="n">
        <v>9</v>
      </c>
      <c r="B13" s="11" t="s">
        <v>41</v>
      </c>
      <c r="C13" s="10" t="s">
        <v>42</v>
      </c>
      <c r="D13" s="10" t="s">
        <v>27</v>
      </c>
      <c r="E13" s="17" t="n">
        <v>4449.21</v>
      </c>
      <c r="F13" s="17" t="n">
        <v>5339.05</v>
      </c>
    </row>
    <row r="14" customFormat="false" ht="15" hidden="false" customHeight="false" outlineLevel="0" collapsed="false">
      <c r="A14" s="10" t="n">
        <v>10</v>
      </c>
      <c r="B14" s="11" t="s">
        <v>43</v>
      </c>
      <c r="C14" s="10" t="s">
        <v>44</v>
      </c>
      <c r="D14" s="10" t="s">
        <v>45</v>
      </c>
      <c r="E14" s="17" t="n">
        <v>3312.95</v>
      </c>
      <c r="F14" s="17" t="n">
        <v>3975.54</v>
      </c>
    </row>
    <row r="15" customFormat="false" ht="15" hidden="false" customHeight="false" outlineLevel="0" collapsed="false">
      <c r="A15" s="10" t="n">
        <v>11</v>
      </c>
      <c r="B15" s="11" t="s">
        <v>46</v>
      </c>
      <c r="C15" s="10" t="s">
        <v>47</v>
      </c>
      <c r="D15" s="10" t="s">
        <v>27</v>
      </c>
      <c r="E15" s="17" t="n">
        <v>3312.94</v>
      </c>
      <c r="F15" s="17" t="n">
        <v>3975.53</v>
      </c>
    </row>
    <row r="16" customFormat="false" ht="15" hidden="false" customHeight="false" outlineLevel="0" collapsed="false">
      <c r="A16" s="10" t="n">
        <v>12</v>
      </c>
      <c r="B16" s="11" t="s">
        <v>67</v>
      </c>
      <c r="C16" s="10" t="s">
        <v>144</v>
      </c>
      <c r="D16" s="10" t="s">
        <v>21</v>
      </c>
      <c r="E16" s="10" t="s">
        <v>21</v>
      </c>
      <c r="F16" s="10" t="s">
        <v>21</v>
      </c>
    </row>
    <row r="17" customFormat="false" ht="15" hidden="false" customHeight="false" outlineLevel="0" collapsed="false">
      <c r="A17" s="19" t="s">
        <v>145</v>
      </c>
      <c r="B17" s="19"/>
      <c r="C17" s="19"/>
      <c r="D17" s="19"/>
      <c r="E17" s="22" t="n">
        <f aca="false">SUMIF(E5:E16,"&gt;=0")</f>
        <v>42891.28</v>
      </c>
      <c r="F17" s="22" t="n">
        <f aca="false">SUMIF(F5:F16,"&gt;=0")</f>
        <v>51469.54</v>
      </c>
    </row>
    <row r="19" customFormat="false" ht="15" hidden="false" customHeight="false" outlineLevel="0" collapsed="false">
      <c r="B19" s="39" t="s">
        <v>146</v>
      </c>
      <c r="E19" s="30" t="n">
        <f aca="false">12067.16/1.2</f>
        <v>10055.9666666667</v>
      </c>
      <c r="F19" s="30" t="n">
        <v>12067.16</v>
      </c>
    </row>
    <row r="20" customFormat="false" ht="15" hidden="false" customHeight="false" outlineLevel="0" collapsed="false">
      <c r="B20" s="40" t="s">
        <v>147</v>
      </c>
      <c r="F20" s="41" t="n">
        <f aca="false">F17+F19</f>
        <v>63536.7</v>
      </c>
    </row>
    <row r="22" customFormat="false" ht="15" hidden="false" customHeight="false" outlineLevel="0" collapsed="false">
      <c r="B22" s="42" t="s">
        <v>148</v>
      </c>
      <c r="F22" s="43" t="n">
        <v>113747.21</v>
      </c>
    </row>
    <row r="23" customFormat="false" ht="15" hidden="false" customHeight="false" outlineLevel="0" collapsed="false">
      <c r="B23" s="42" t="s">
        <v>149</v>
      </c>
      <c r="F23" s="44" t="n">
        <f aca="false">F22-F20</f>
        <v>50210.51</v>
      </c>
    </row>
  </sheetData>
  <mergeCells count="3">
    <mergeCell ref="A1:F1"/>
    <mergeCell ref="A2:F2"/>
    <mergeCell ref="A17:D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2026-05-19T07:47:39Z</dcterms:created>
  <dc:creator>openpyxl</dc:creator>
  <dc:description/>
  <dc:language>en-US</dc:language>
  <cp:lastModifiedBy/>
  <dcterms:modified xsi:type="dcterms:W3CDTF">2026-05-19T07:47:39Z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